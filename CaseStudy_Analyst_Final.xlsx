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lay/Downloads/"/>
    </mc:Choice>
  </mc:AlternateContent>
  <xr:revisionPtr revIDLastSave="0" documentId="13_ncr:1_{314EC906-8AD6-2D40-9414-D26A33FA2768}" xr6:coauthVersionLast="47" xr6:coauthVersionMax="47" xr10:uidLastSave="{00000000-0000-0000-0000-000000000000}"/>
  <bookViews>
    <workbookView xWindow="-680" yWindow="-22680" windowWidth="30240" windowHeight="18980" xr2:uid="{00000000-000D-0000-FFFF-FFFF00000000}"/>
  </bookViews>
  <sheets>
    <sheet name="Product Info" sheetId="1" r:id="rId1"/>
    <sheet name="Carrier Rates" sheetId="2" r:id="rId2"/>
    <sheet name="Historical Orders" sheetId="3" r:id="rId3"/>
    <sheet name="Historical Shipments" sheetId="4" r:id="rId4"/>
    <sheet name="Weekly Hammer Demand" sheetId="5" r:id="rId5"/>
    <sheet name="Supplier A" sheetId="6" r:id="rId6"/>
    <sheet name="Supplier B" sheetId="7" r:id="rId7"/>
    <sheet name="Summary  Hammer" sheetId="8" r:id="rId8"/>
    <sheet name="Summary  Total shipping cost" sheetId="9" state="hidden" r:id="rId9"/>
  </sheets>
  <definedNames>
    <definedName name="_xlnm._FilterDatabase" localSheetId="2" hidden="1">'Historical Orders'!$A$1:$G$313</definedName>
    <definedName name="_xlnm._FilterDatabase" localSheetId="3" hidden="1">'Historical Shipments'!$A$1:$E$209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5" i="7" l="1"/>
  <c r="H105" i="7"/>
  <c r="F105" i="7"/>
  <c r="E105" i="7"/>
  <c r="R105" i="7" s="1"/>
  <c r="Q104" i="7"/>
  <c r="H104" i="7"/>
  <c r="F104" i="7"/>
  <c r="E104" i="7"/>
  <c r="Q103" i="7"/>
  <c r="H103" i="7"/>
  <c r="F103" i="7"/>
  <c r="E103" i="7"/>
  <c r="R103" i="7" s="1"/>
  <c r="R102" i="7"/>
  <c r="Q102" i="7"/>
  <c r="H102" i="7"/>
  <c r="F102" i="7"/>
  <c r="E102" i="7"/>
  <c r="G102" i="7" s="1"/>
  <c r="Q101" i="7"/>
  <c r="H101" i="7"/>
  <c r="F101" i="7"/>
  <c r="E101" i="7"/>
  <c r="Q100" i="7"/>
  <c r="H100" i="7"/>
  <c r="F100" i="7"/>
  <c r="E100" i="7"/>
  <c r="R99" i="7"/>
  <c r="Q99" i="7"/>
  <c r="H99" i="7"/>
  <c r="F99" i="7"/>
  <c r="E99" i="7"/>
  <c r="G99" i="7" s="1"/>
  <c r="R98" i="7"/>
  <c r="Q98" i="7"/>
  <c r="H98" i="7"/>
  <c r="F98" i="7"/>
  <c r="G98" i="7" s="1"/>
  <c r="E98" i="7"/>
  <c r="Q97" i="7"/>
  <c r="H97" i="7"/>
  <c r="G97" i="7"/>
  <c r="F97" i="7"/>
  <c r="E97" i="7"/>
  <c r="R97" i="7" s="1"/>
  <c r="R96" i="7"/>
  <c r="Q96" i="7"/>
  <c r="H96" i="7"/>
  <c r="G96" i="7"/>
  <c r="F96" i="7"/>
  <c r="E96" i="7"/>
  <c r="Q95" i="7"/>
  <c r="H95" i="7"/>
  <c r="F95" i="7"/>
  <c r="E95" i="7"/>
  <c r="R95" i="7" s="1"/>
  <c r="Q94" i="7"/>
  <c r="H94" i="7"/>
  <c r="F94" i="7"/>
  <c r="E94" i="7"/>
  <c r="Q93" i="7"/>
  <c r="H93" i="7"/>
  <c r="F93" i="7"/>
  <c r="E93" i="7"/>
  <c r="R92" i="7"/>
  <c r="Q92" i="7"/>
  <c r="H92" i="7"/>
  <c r="G92" i="7"/>
  <c r="F92" i="7"/>
  <c r="E92" i="7"/>
  <c r="Q91" i="7"/>
  <c r="H91" i="7"/>
  <c r="F91" i="7"/>
  <c r="E91" i="7"/>
  <c r="R90" i="7"/>
  <c r="Q90" i="7"/>
  <c r="H90" i="7"/>
  <c r="F90" i="7"/>
  <c r="E90" i="7"/>
  <c r="G90" i="7" s="1"/>
  <c r="Q89" i="7"/>
  <c r="H89" i="7"/>
  <c r="F89" i="7"/>
  <c r="E89" i="7"/>
  <c r="Q88" i="7"/>
  <c r="H88" i="7"/>
  <c r="F88" i="7"/>
  <c r="E88" i="7"/>
  <c r="G88" i="7" s="1"/>
  <c r="Q87" i="7"/>
  <c r="H87" i="7"/>
  <c r="G87" i="7"/>
  <c r="F87" i="7"/>
  <c r="E87" i="7"/>
  <c r="R86" i="7"/>
  <c r="Q86" i="7"/>
  <c r="H86" i="7"/>
  <c r="G86" i="7"/>
  <c r="F86" i="7"/>
  <c r="E86" i="7"/>
  <c r="Q85" i="7"/>
  <c r="H85" i="7"/>
  <c r="G85" i="7"/>
  <c r="F85" i="7"/>
  <c r="E85" i="7"/>
  <c r="R85" i="7" s="1"/>
  <c r="R84" i="7"/>
  <c r="Q84" i="7"/>
  <c r="H84" i="7"/>
  <c r="F84" i="7"/>
  <c r="E84" i="7"/>
  <c r="Q83" i="7"/>
  <c r="H83" i="7"/>
  <c r="F83" i="7"/>
  <c r="E83" i="7"/>
  <c r="R83" i="7" s="1"/>
  <c r="Q82" i="7"/>
  <c r="R82" i="7" s="1"/>
  <c r="H82" i="7"/>
  <c r="F82" i="7"/>
  <c r="G82" i="7" s="1"/>
  <c r="E82" i="7"/>
  <c r="Q81" i="7"/>
  <c r="H81" i="7"/>
  <c r="F81" i="7"/>
  <c r="E81" i="7"/>
  <c r="R81" i="7" s="1"/>
  <c r="Q80" i="7"/>
  <c r="H80" i="7"/>
  <c r="F80" i="7"/>
  <c r="E80" i="7"/>
  <c r="Q79" i="7"/>
  <c r="H79" i="7"/>
  <c r="F79" i="7"/>
  <c r="E79" i="7"/>
  <c r="R79" i="7" s="1"/>
  <c r="R78" i="7"/>
  <c r="Q78" i="7"/>
  <c r="H78" i="7"/>
  <c r="F78" i="7"/>
  <c r="E78" i="7"/>
  <c r="Q77" i="7"/>
  <c r="H77" i="7"/>
  <c r="F77" i="7"/>
  <c r="E77" i="7"/>
  <c r="R76" i="7"/>
  <c r="Q76" i="7"/>
  <c r="H76" i="7"/>
  <c r="G76" i="7"/>
  <c r="F76" i="7"/>
  <c r="E76" i="7"/>
  <c r="R75" i="7"/>
  <c r="Q75" i="7"/>
  <c r="H75" i="7"/>
  <c r="F75" i="7"/>
  <c r="E75" i="7"/>
  <c r="G75" i="7" s="1"/>
  <c r="Q74" i="7"/>
  <c r="H74" i="7"/>
  <c r="F74" i="7"/>
  <c r="E74" i="7"/>
  <c r="G74" i="7" s="1"/>
  <c r="R73" i="7"/>
  <c r="Q73" i="7"/>
  <c r="H73" i="7"/>
  <c r="G73" i="7"/>
  <c r="F73" i="7"/>
  <c r="E73" i="7"/>
  <c r="Q72" i="7"/>
  <c r="R72" i="7" s="1"/>
  <c r="H72" i="7"/>
  <c r="F72" i="7"/>
  <c r="G72" i="7" s="1"/>
  <c r="E72" i="7"/>
  <c r="Q71" i="7"/>
  <c r="H71" i="7"/>
  <c r="G71" i="7"/>
  <c r="F71" i="7"/>
  <c r="E71" i="7"/>
  <c r="Q70" i="7"/>
  <c r="H70" i="7"/>
  <c r="F70" i="7"/>
  <c r="E70" i="7"/>
  <c r="Q69" i="7"/>
  <c r="H69" i="7"/>
  <c r="F69" i="7"/>
  <c r="E69" i="7"/>
  <c r="R69" i="7" s="1"/>
  <c r="Q68" i="7"/>
  <c r="H68" i="7"/>
  <c r="F68" i="7"/>
  <c r="E68" i="7"/>
  <c r="Q67" i="7"/>
  <c r="H67" i="7"/>
  <c r="F67" i="7"/>
  <c r="E67" i="7"/>
  <c r="R66" i="7"/>
  <c r="Q66" i="7"/>
  <c r="H66" i="7"/>
  <c r="G66" i="7"/>
  <c r="F66" i="7"/>
  <c r="E66" i="7"/>
  <c r="Q65" i="7"/>
  <c r="R65" i="7" s="1"/>
  <c r="H65" i="7"/>
  <c r="G65" i="7"/>
  <c r="F65" i="7"/>
  <c r="E65" i="7"/>
  <c r="Q64" i="7"/>
  <c r="H64" i="7"/>
  <c r="F64" i="7"/>
  <c r="E64" i="7"/>
  <c r="Q63" i="7"/>
  <c r="R63" i="7" s="1"/>
  <c r="H63" i="7"/>
  <c r="G63" i="7"/>
  <c r="F63" i="7"/>
  <c r="E63" i="7"/>
  <c r="Q62" i="7"/>
  <c r="R62" i="7" s="1"/>
  <c r="H62" i="7"/>
  <c r="F62" i="7"/>
  <c r="G62" i="7" s="1"/>
  <c r="E62" i="7"/>
  <c r="Q61" i="7"/>
  <c r="H61" i="7"/>
  <c r="G61" i="7"/>
  <c r="F61" i="7"/>
  <c r="E61" i="7"/>
  <c r="R60" i="7"/>
  <c r="Q60" i="7"/>
  <c r="H60" i="7"/>
  <c r="F60" i="7"/>
  <c r="G60" i="7" s="1"/>
  <c r="E60" i="7"/>
  <c r="Q59" i="7"/>
  <c r="H59" i="7"/>
  <c r="F59" i="7"/>
  <c r="E59" i="7"/>
  <c r="Q58" i="7"/>
  <c r="H58" i="7"/>
  <c r="F58" i="7"/>
  <c r="E58" i="7"/>
  <c r="Q57" i="7"/>
  <c r="H57" i="7"/>
  <c r="F57" i="7"/>
  <c r="E57" i="7"/>
  <c r="R56" i="7"/>
  <c r="Q56" i="7"/>
  <c r="H56" i="7"/>
  <c r="G56" i="7"/>
  <c r="F56" i="7"/>
  <c r="E56" i="7"/>
  <c r="Q55" i="7"/>
  <c r="R55" i="7" s="1"/>
  <c r="H55" i="7"/>
  <c r="F55" i="7"/>
  <c r="E55" i="7"/>
  <c r="G55" i="7" s="1"/>
  <c r="Q54" i="7"/>
  <c r="H54" i="7"/>
  <c r="F54" i="7"/>
  <c r="E54" i="7"/>
  <c r="Q53" i="7"/>
  <c r="R53" i="7" s="1"/>
  <c r="H53" i="7"/>
  <c r="G53" i="7"/>
  <c r="F53" i="7"/>
  <c r="E53" i="7"/>
  <c r="Q52" i="7"/>
  <c r="R52" i="7" s="1"/>
  <c r="H52" i="7"/>
  <c r="F52" i="7"/>
  <c r="G52" i="7" s="1"/>
  <c r="E52" i="7"/>
  <c r="Q51" i="7"/>
  <c r="H51" i="7"/>
  <c r="F51" i="7"/>
  <c r="G51" i="7" s="1"/>
  <c r="E51" i="7"/>
  <c r="R51" i="7" s="1"/>
  <c r="Q50" i="7"/>
  <c r="H50" i="7"/>
  <c r="F50" i="7"/>
  <c r="E50" i="7"/>
  <c r="Q49" i="7"/>
  <c r="H49" i="7"/>
  <c r="F49" i="7"/>
  <c r="E49" i="7"/>
  <c r="Q48" i="7"/>
  <c r="R48" i="7" s="1"/>
  <c r="H48" i="7"/>
  <c r="G48" i="7"/>
  <c r="F48" i="7"/>
  <c r="E48" i="7"/>
  <c r="Q47" i="7"/>
  <c r="R47" i="7" s="1"/>
  <c r="H47" i="7"/>
  <c r="G47" i="7"/>
  <c r="F47" i="7"/>
  <c r="E47" i="7"/>
  <c r="R46" i="7"/>
  <c r="Q46" i="7"/>
  <c r="H46" i="7"/>
  <c r="G46" i="7"/>
  <c r="F46" i="7"/>
  <c r="E46" i="7"/>
  <c r="Q45" i="7"/>
  <c r="H45" i="7"/>
  <c r="F45" i="7"/>
  <c r="E45" i="7"/>
  <c r="R44" i="7"/>
  <c r="Q44" i="7"/>
  <c r="H44" i="7"/>
  <c r="F44" i="7"/>
  <c r="E44" i="7"/>
  <c r="G44" i="7" s="1"/>
  <c r="Q43" i="7"/>
  <c r="H43" i="7"/>
  <c r="F43" i="7"/>
  <c r="G43" i="7" s="1"/>
  <c r="E43" i="7"/>
  <c r="Q42" i="7"/>
  <c r="H42" i="7"/>
  <c r="F42" i="7"/>
  <c r="E42" i="7"/>
  <c r="Q41" i="7"/>
  <c r="H41" i="7"/>
  <c r="F41" i="7"/>
  <c r="E41" i="7"/>
  <c r="R40" i="7"/>
  <c r="Q40" i="7"/>
  <c r="H40" i="7"/>
  <c r="F40" i="7"/>
  <c r="E40" i="7"/>
  <c r="Q39" i="7"/>
  <c r="H39" i="7"/>
  <c r="F39" i="7"/>
  <c r="E39" i="7"/>
  <c r="Q38" i="7"/>
  <c r="H38" i="7"/>
  <c r="G38" i="7"/>
  <c r="F38" i="7"/>
  <c r="E38" i="7"/>
  <c r="R38" i="7" s="1"/>
  <c r="R37" i="7"/>
  <c r="Q37" i="7"/>
  <c r="H37" i="7"/>
  <c r="F37" i="7"/>
  <c r="G37" i="7" s="1"/>
  <c r="E37" i="7"/>
  <c r="R36" i="7"/>
  <c r="Q36" i="7"/>
  <c r="H36" i="7"/>
  <c r="F36" i="7"/>
  <c r="G36" i="7" s="1"/>
  <c r="E36" i="7"/>
  <c r="R35" i="7"/>
  <c r="Q35" i="7"/>
  <c r="H35" i="7"/>
  <c r="F35" i="7"/>
  <c r="E35" i="7"/>
  <c r="G35" i="7" s="1"/>
  <c r="Q34" i="7"/>
  <c r="H34" i="7"/>
  <c r="F34" i="7"/>
  <c r="E34" i="7"/>
  <c r="R33" i="7"/>
  <c r="Q33" i="7"/>
  <c r="H33" i="7"/>
  <c r="F33" i="7"/>
  <c r="E33" i="7"/>
  <c r="G33" i="7" s="1"/>
  <c r="Q32" i="7"/>
  <c r="H32" i="7"/>
  <c r="G32" i="7"/>
  <c r="F32" i="7"/>
  <c r="E32" i="7"/>
  <c r="R31" i="7"/>
  <c r="Q31" i="7"/>
  <c r="H31" i="7"/>
  <c r="F31" i="7"/>
  <c r="E31" i="7"/>
  <c r="Q30" i="7"/>
  <c r="H30" i="7"/>
  <c r="G30" i="7"/>
  <c r="F30" i="7"/>
  <c r="E30" i="7"/>
  <c r="Q29" i="7"/>
  <c r="H29" i="7"/>
  <c r="F29" i="7"/>
  <c r="E29" i="7"/>
  <c r="R29" i="7" s="1"/>
  <c r="Q28" i="7"/>
  <c r="H28" i="7"/>
  <c r="G28" i="7"/>
  <c r="F28" i="7"/>
  <c r="E28" i="7"/>
  <c r="R28" i="7" s="1"/>
  <c r="Q27" i="7"/>
  <c r="H27" i="7"/>
  <c r="F27" i="7"/>
  <c r="E27" i="7"/>
  <c r="G27" i="7" s="1"/>
  <c r="R26" i="7"/>
  <c r="Q26" i="7"/>
  <c r="H26" i="7"/>
  <c r="F26" i="7"/>
  <c r="E26" i="7"/>
  <c r="G26" i="7" s="1"/>
  <c r="Q25" i="7"/>
  <c r="R25" i="7" s="1"/>
  <c r="H25" i="7"/>
  <c r="F25" i="7"/>
  <c r="G25" i="7" s="1"/>
  <c r="E25" i="7"/>
  <c r="Q24" i="7"/>
  <c r="H24" i="7"/>
  <c r="F24" i="7"/>
  <c r="E24" i="7"/>
  <c r="R24" i="7" s="1"/>
  <c r="Q23" i="7"/>
  <c r="H23" i="7"/>
  <c r="F23" i="7"/>
  <c r="E23" i="7"/>
  <c r="R22" i="7"/>
  <c r="Q22" i="7"/>
  <c r="H22" i="7"/>
  <c r="G22" i="7"/>
  <c r="F22" i="7"/>
  <c r="E22" i="7"/>
  <c r="Q21" i="7"/>
  <c r="H21" i="7"/>
  <c r="G21" i="7"/>
  <c r="F21" i="7"/>
  <c r="E21" i="7"/>
  <c r="R21" i="7" s="1"/>
  <c r="Q20" i="7"/>
  <c r="H20" i="7"/>
  <c r="F20" i="7"/>
  <c r="E20" i="7"/>
  <c r="R19" i="7"/>
  <c r="Q19" i="7"/>
  <c r="H19" i="7"/>
  <c r="F19" i="7"/>
  <c r="G19" i="7" s="1"/>
  <c r="E19" i="7"/>
  <c r="R18" i="7"/>
  <c r="Q18" i="7"/>
  <c r="H18" i="7"/>
  <c r="G18" i="7"/>
  <c r="F18" i="7"/>
  <c r="E18" i="7"/>
  <c r="Q17" i="7"/>
  <c r="R17" i="7" s="1"/>
  <c r="H17" i="7"/>
  <c r="F17" i="7"/>
  <c r="E17" i="7"/>
  <c r="Q16" i="7"/>
  <c r="H16" i="7"/>
  <c r="F16" i="7"/>
  <c r="E16" i="7"/>
  <c r="R16" i="7" s="1"/>
  <c r="R15" i="7"/>
  <c r="Q15" i="7"/>
  <c r="H15" i="7"/>
  <c r="G15" i="7"/>
  <c r="F15" i="7"/>
  <c r="E15" i="7"/>
  <c r="Q14" i="7"/>
  <c r="R14" i="7" s="1"/>
  <c r="H14" i="7"/>
  <c r="G14" i="7"/>
  <c r="F14" i="7"/>
  <c r="E14" i="7"/>
  <c r="Q13" i="7"/>
  <c r="R13" i="7" s="1"/>
  <c r="H13" i="7"/>
  <c r="G13" i="7"/>
  <c r="F13" i="7"/>
  <c r="E13" i="7"/>
  <c r="R12" i="7"/>
  <c r="Q12" i="7"/>
  <c r="H12" i="7"/>
  <c r="F12" i="7"/>
  <c r="G12" i="7" s="1"/>
  <c r="E12" i="7"/>
  <c r="R11" i="7"/>
  <c r="Q11" i="7"/>
  <c r="H11" i="7"/>
  <c r="G11" i="7"/>
  <c r="F11" i="7"/>
  <c r="E11" i="7"/>
  <c r="Q10" i="7"/>
  <c r="H10" i="7"/>
  <c r="G10" i="7"/>
  <c r="F10" i="7"/>
  <c r="E10" i="7"/>
  <c r="R10" i="7" s="1"/>
  <c r="Q9" i="7"/>
  <c r="H9" i="7"/>
  <c r="F9" i="7"/>
  <c r="E9" i="7"/>
  <c r="Q8" i="7"/>
  <c r="H8" i="7"/>
  <c r="F8" i="7"/>
  <c r="E8" i="7"/>
  <c r="R8" i="7" s="1"/>
  <c r="Q7" i="7"/>
  <c r="H7" i="7"/>
  <c r="F7" i="7"/>
  <c r="E7" i="7"/>
  <c r="Q6" i="7"/>
  <c r="H6" i="7"/>
  <c r="F6" i="7"/>
  <c r="E6" i="7"/>
  <c r="R5" i="7"/>
  <c r="Q5" i="7"/>
  <c r="H5" i="7"/>
  <c r="F5" i="7"/>
  <c r="E5" i="7"/>
  <c r="G5" i="7" s="1"/>
  <c r="Q4" i="7"/>
  <c r="R4" i="7" s="1"/>
  <c r="H4" i="7"/>
  <c r="G4" i="7"/>
  <c r="F4" i="7"/>
  <c r="E4" i="7"/>
  <c r="Q3" i="7"/>
  <c r="R3" i="7" s="1"/>
  <c r="H3" i="7"/>
  <c r="G3" i="7"/>
  <c r="F3" i="7"/>
  <c r="E3" i="7"/>
  <c r="R2" i="7"/>
  <c r="Q2" i="7"/>
  <c r="H2" i="7"/>
  <c r="G2" i="7"/>
  <c r="F2" i="7"/>
  <c r="E2" i="7"/>
  <c r="Q105" i="6"/>
  <c r="H105" i="6"/>
  <c r="F105" i="6"/>
  <c r="E105" i="6"/>
  <c r="R104" i="6"/>
  <c r="Q104" i="6"/>
  <c r="H104" i="6"/>
  <c r="F104" i="6"/>
  <c r="E104" i="6"/>
  <c r="Q103" i="6"/>
  <c r="H103" i="6"/>
  <c r="F103" i="6"/>
  <c r="G103" i="6" s="1"/>
  <c r="E103" i="6"/>
  <c r="Q102" i="6"/>
  <c r="H102" i="6"/>
  <c r="F102" i="6"/>
  <c r="E102" i="6"/>
  <c r="Q101" i="6"/>
  <c r="H101" i="6"/>
  <c r="F101" i="6"/>
  <c r="E101" i="6"/>
  <c r="Q100" i="6"/>
  <c r="H100" i="6"/>
  <c r="F100" i="6"/>
  <c r="E100" i="6"/>
  <c r="Q99" i="6"/>
  <c r="H99" i="6"/>
  <c r="G99" i="6"/>
  <c r="F99" i="6"/>
  <c r="E99" i="6"/>
  <c r="R99" i="6" s="1"/>
  <c r="Q98" i="6"/>
  <c r="H98" i="6"/>
  <c r="F98" i="6"/>
  <c r="E98" i="6"/>
  <c r="Q97" i="6"/>
  <c r="H97" i="6"/>
  <c r="F97" i="6"/>
  <c r="E97" i="6"/>
  <c r="G97" i="6" s="1"/>
  <c r="Q96" i="6"/>
  <c r="R96" i="6" s="1"/>
  <c r="H96" i="6"/>
  <c r="G96" i="6"/>
  <c r="F96" i="6"/>
  <c r="E96" i="6"/>
  <c r="Q95" i="6"/>
  <c r="R95" i="6" s="1"/>
  <c r="H95" i="6"/>
  <c r="G95" i="6"/>
  <c r="F95" i="6"/>
  <c r="E95" i="6"/>
  <c r="R94" i="6"/>
  <c r="Q94" i="6"/>
  <c r="H94" i="6"/>
  <c r="G94" i="6"/>
  <c r="F94" i="6"/>
  <c r="E94" i="6"/>
  <c r="Q93" i="6"/>
  <c r="R93" i="6" s="1"/>
  <c r="H93" i="6"/>
  <c r="F93" i="6"/>
  <c r="G93" i="6" s="1"/>
  <c r="E93" i="6"/>
  <c r="Q92" i="6"/>
  <c r="H92" i="6"/>
  <c r="F92" i="6"/>
  <c r="E92" i="6"/>
  <c r="Q91" i="6"/>
  <c r="H91" i="6"/>
  <c r="F91" i="6"/>
  <c r="E91" i="6"/>
  <c r="Q90" i="6"/>
  <c r="H90" i="6"/>
  <c r="G90" i="6"/>
  <c r="F90" i="6"/>
  <c r="E90" i="6"/>
  <c r="R90" i="6" s="1"/>
  <c r="Q89" i="6"/>
  <c r="H89" i="6"/>
  <c r="G89" i="6"/>
  <c r="F89" i="6"/>
  <c r="E89" i="6"/>
  <c r="R89" i="6" s="1"/>
  <c r="Q88" i="6"/>
  <c r="H88" i="6"/>
  <c r="F88" i="6"/>
  <c r="E88" i="6"/>
  <c r="Q87" i="6"/>
  <c r="H87" i="6"/>
  <c r="F87" i="6"/>
  <c r="E87" i="6"/>
  <c r="G87" i="6" s="1"/>
  <c r="Q86" i="6"/>
  <c r="R86" i="6" s="1"/>
  <c r="H86" i="6"/>
  <c r="G86" i="6"/>
  <c r="F86" i="6"/>
  <c r="E86" i="6"/>
  <c r="Q85" i="6"/>
  <c r="R85" i="6" s="1"/>
  <c r="H85" i="6"/>
  <c r="G85" i="6"/>
  <c r="F85" i="6"/>
  <c r="E85" i="6"/>
  <c r="Q84" i="6"/>
  <c r="R84" i="6" s="1"/>
  <c r="H84" i="6"/>
  <c r="G84" i="6"/>
  <c r="F84" i="6"/>
  <c r="E84" i="6"/>
  <c r="Q83" i="6"/>
  <c r="R83" i="6" s="1"/>
  <c r="H83" i="6"/>
  <c r="F83" i="6"/>
  <c r="G83" i="6" s="1"/>
  <c r="E83" i="6"/>
  <c r="Q82" i="6"/>
  <c r="H82" i="6"/>
  <c r="F82" i="6"/>
  <c r="E82" i="6"/>
  <c r="G82" i="6" s="1"/>
  <c r="Q81" i="6"/>
  <c r="H81" i="6"/>
  <c r="G81" i="6"/>
  <c r="F81" i="6"/>
  <c r="E81" i="6"/>
  <c r="Q80" i="6"/>
  <c r="H80" i="6"/>
  <c r="G80" i="6"/>
  <c r="F80" i="6"/>
  <c r="E80" i="6"/>
  <c r="R80" i="6" s="1"/>
  <c r="Q79" i="6"/>
  <c r="H79" i="6"/>
  <c r="F79" i="6"/>
  <c r="E79" i="6"/>
  <c r="R79" i="6" s="1"/>
  <c r="Q78" i="6"/>
  <c r="H78" i="6"/>
  <c r="F78" i="6"/>
  <c r="E78" i="6"/>
  <c r="Q77" i="6"/>
  <c r="H77" i="6"/>
  <c r="F77" i="6"/>
  <c r="E77" i="6"/>
  <c r="G77" i="6" s="1"/>
  <c r="Q76" i="6"/>
  <c r="R76" i="6" s="1"/>
  <c r="H76" i="6"/>
  <c r="G76" i="6"/>
  <c r="F76" i="6"/>
  <c r="E76" i="6"/>
  <c r="R75" i="6"/>
  <c r="Q75" i="6"/>
  <c r="H75" i="6"/>
  <c r="G75" i="6"/>
  <c r="F75" i="6"/>
  <c r="E75" i="6"/>
  <c r="Q74" i="6"/>
  <c r="R74" i="6" s="1"/>
  <c r="H74" i="6"/>
  <c r="G74" i="6"/>
  <c r="F74" i="6"/>
  <c r="E74" i="6"/>
  <c r="R73" i="6"/>
  <c r="Q73" i="6"/>
  <c r="H73" i="6"/>
  <c r="F73" i="6"/>
  <c r="G73" i="6" s="1"/>
  <c r="E73" i="6"/>
  <c r="R72" i="6"/>
  <c r="Q72" i="6"/>
  <c r="H72" i="6"/>
  <c r="G72" i="6"/>
  <c r="F72" i="6"/>
  <c r="E72" i="6"/>
  <c r="Q71" i="6"/>
  <c r="H71" i="6"/>
  <c r="G71" i="6"/>
  <c r="F71" i="6"/>
  <c r="E71" i="6"/>
  <c r="R71" i="6" s="1"/>
  <c r="Q70" i="6"/>
  <c r="H70" i="6"/>
  <c r="F70" i="6"/>
  <c r="E70" i="6"/>
  <c r="R70" i="6" s="1"/>
  <c r="Q69" i="6"/>
  <c r="H69" i="6"/>
  <c r="F69" i="6"/>
  <c r="G69" i="6" s="1"/>
  <c r="E69" i="6"/>
  <c r="R69" i="6" s="1"/>
  <c r="Q68" i="6"/>
  <c r="H68" i="6"/>
  <c r="F68" i="6"/>
  <c r="E68" i="6"/>
  <c r="G68" i="6" s="1"/>
  <c r="Q67" i="6"/>
  <c r="H67" i="6"/>
  <c r="F67" i="6"/>
  <c r="E67" i="6"/>
  <c r="G67" i="6" s="1"/>
  <c r="Q66" i="6"/>
  <c r="R66" i="6" s="1"/>
  <c r="H66" i="6"/>
  <c r="G66" i="6"/>
  <c r="F66" i="6"/>
  <c r="E66" i="6"/>
  <c r="R65" i="6"/>
  <c r="Q65" i="6"/>
  <c r="H65" i="6"/>
  <c r="G65" i="6"/>
  <c r="F65" i="6"/>
  <c r="E65" i="6"/>
  <c r="Q64" i="6"/>
  <c r="R64" i="6" s="1"/>
  <c r="H64" i="6"/>
  <c r="F64" i="6"/>
  <c r="G64" i="6" s="1"/>
  <c r="E64" i="6"/>
  <c r="R63" i="6"/>
  <c r="Q63" i="6"/>
  <c r="H63" i="6"/>
  <c r="F63" i="6"/>
  <c r="G63" i="6" s="1"/>
  <c r="E63" i="6"/>
  <c r="Q62" i="6"/>
  <c r="H62" i="6"/>
  <c r="F62" i="6"/>
  <c r="E62" i="6"/>
  <c r="R62" i="6" s="1"/>
  <c r="Q61" i="6"/>
  <c r="H61" i="6"/>
  <c r="F61" i="6"/>
  <c r="E61" i="6"/>
  <c r="Q60" i="6"/>
  <c r="L60" i="6" a="1"/>
  <c r="L60" i="6" s="1"/>
  <c r="N60" i="6" s="1"/>
  <c r="H60" i="6"/>
  <c r="G60" i="6"/>
  <c r="F60" i="6"/>
  <c r="E60" i="6"/>
  <c r="R60" i="6" s="1"/>
  <c r="Q59" i="6"/>
  <c r="H59" i="6"/>
  <c r="F59" i="6"/>
  <c r="E59" i="6"/>
  <c r="R58" i="6"/>
  <c r="Q58" i="6"/>
  <c r="H58" i="6"/>
  <c r="F58" i="6"/>
  <c r="E58" i="6"/>
  <c r="Q57" i="6"/>
  <c r="H57" i="6"/>
  <c r="F57" i="6"/>
  <c r="E57" i="6"/>
  <c r="R56" i="6"/>
  <c r="Q56" i="6"/>
  <c r="H56" i="6"/>
  <c r="G56" i="6"/>
  <c r="F56" i="6"/>
  <c r="E56" i="6"/>
  <c r="Q55" i="6"/>
  <c r="R55" i="6" s="1"/>
  <c r="H55" i="6"/>
  <c r="F55" i="6"/>
  <c r="G55" i="6" s="1"/>
  <c r="E55" i="6"/>
  <c r="Q54" i="6"/>
  <c r="H54" i="6"/>
  <c r="F54" i="6"/>
  <c r="E54" i="6"/>
  <c r="Q53" i="6"/>
  <c r="R53" i="6" s="1"/>
  <c r="H53" i="6"/>
  <c r="G53" i="6"/>
  <c r="F53" i="6"/>
  <c r="E53" i="6"/>
  <c r="Q52" i="6"/>
  <c r="H52" i="6"/>
  <c r="F52" i="6"/>
  <c r="E52" i="6"/>
  <c r="Q51" i="6"/>
  <c r="H51" i="6"/>
  <c r="G51" i="6"/>
  <c r="F51" i="6"/>
  <c r="E51" i="6"/>
  <c r="Q50" i="6"/>
  <c r="H50" i="6"/>
  <c r="F50" i="6"/>
  <c r="E50" i="6"/>
  <c r="Q49" i="6"/>
  <c r="H49" i="6"/>
  <c r="F49" i="6"/>
  <c r="E49" i="6"/>
  <c r="G49" i="6" s="1"/>
  <c r="Q48" i="6"/>
  <c r="R48" i="6" s="1"/>
  <c r="H48" i="6"/>
  <c r="G48" i="6"/>
  <c r="F48" i="6"/>
  <c r="E48" i="6"/>
  <c r="Q47" i="6"/>
  <c r="R47" i="6" s="1"/>
  <c r="H47" i="6"/>
  <c r="F47" i="6"/>
  <c r="G47" i="6" s="1"/>
  <c r="E47" i="6"/>
  <c r="Q46" i="6"/>
  <c r="H46" i="6"/>
  <c r="F46" i="6"/>
  <c r="E46" i="6"/>
  <c r="Q45" i="6"/>
  <c r="H45" i="6"/>
  <c r="F45" i="6"/>
  <c r="E45" i="6"/>
  <c r="R45" i="6" s="1"/>
  <c r="Q44" i="6"/>
  <c r="H44" i="6"/>
  <c r="F44" i="6"/>
  <c r="E44" i="6"/>
  <c r="R44" i="6" s="1"/>
  <c r="Q43" i="6"/>
  <c r="H43" i="6"/>
  <c r="G43" i="6"/>
  <c r="F43" i="6"/>
  <c r="E43" i="6"/>
  <c r="R43" i="6" s="1"/>
  <c r="Q42" i="6"/>
  <c r="H42" i="6"/>
  <c r="F42" i="6"/>
  <c r="E42" i="6"/>
  <c r="Q41" i="6"/>
  <c r="H41" i="6"/>
  <c r="F41" i="6"/>
  <c r="E41" i="6"/>
  <c r="G41" i="6" s="1"/>
  <c r="Q40" i="6"/>
  <c r="R40" i="6" s="1"/>
  <c r="H40" i="6"/>
  <c r="F40" i="6"/>
  <c r="E40" i="6"/>
  <c r="G40" i="6" s="1"/>
  <c r="Q39" i="6"/>
  <c r="R39" i="6" s="1"/>
  <c r="H39" i="6"/>
  <c r="G39" i="6"/>
  <c r="F39" i="6"/>
  <c r="E39" i="6"/>
  <c r="R38" i="6"/>
  <c r="Q38" i="6"/>
  <c r="H38" i="6"/>
  <c r="G38" i="6"/>
  <c r="F38" i="6"/>
  <c r="E38" i="6"/>
  <c r="Q37" i="6"/>
  <c r="R37" i="6" s="1"/>
  <c r="H37" i="6"/>
  <c r="F37" i="6"/>
  <c r="G37" i="6" s="1"/>
  <c r="E37" i="6"/>
  <c r="Q36" i="6"/>
  <c r="H36" i="6"/>
  <c r="F36" i="6"/>
  <c r="E36" i="6"/>
  <c r="G36" i="6" s="1"/>
  <c r="Q35" i="6"/>
  <c r="H35" i="6"/>
  <c r="F35" i="6"/>
  <c r="E35" i="6"/>
  <c r="R35" i="6" s="1"/>
  <c r="Q34" i="6"/>
  <c r="H34" i="6"/>
  <c r="F34" i="6"/>
  <c r="G34" i="6" s="1"/>
  <c r="E34" i="6"/>
  <c r="R34" i="6" s="1"/>
  <c r="Q33" i="6"/>
  <c r="H33" i="6"/>
  <c r="G33" i="6"/>
  <c r="F33" i="6"/>
  <c r="E33" i="6"/>
  <c r="R33" i="6" s="1"/>
  <c r="Q32" i="6"/>
  <c r="H32" i="6"/>
  <c r="F32" i="6"/>
  <c r="E32" i="6"/>
  <c r="Q31" i="6"/>
  <c r="H31" i="6"/>
  <c r="F31" i="6"/>
  <c r="E31" i="6"/>
  <c r="G31" i="6" s="1"/>
  <c r="Q30" i="6"/>
  <c r="R30" i="6" s="1"/>
  <c r="L30" i="6" a="1"/>
  <c r="L30" i="6"/>
  <c r="N30" i="6" s="1"/>
  <c r="H30" i="6"/>
  <c r="F30" i="6"/>
  <c r="E30" i="6"/>
  <c r="G30" i="6" s="1"/>
  <c r="Q29" i="6"/>
  <c r="R29" i="6" s="1"/>
  <c r="H29" i="6"/>
  <c r="G29" i="6"/>
  <c r="F29" i="6"/>
  <c r="E29" i="6"/>
  <c r="R28" i="6"/>
  <c r="Q28" i="6"/>
  <c r="H28" i="6"/>
  <c r="G28" i="6"/>
  <c r="F28" i="6"/>
  <c r="E28" i="6"/>
  <c r="Q27" i="6"/>
  <c r="R27" i="6" s="1"/>
  <c r="H27" i="6"/>
  <c r="F27" i="6"/>
  <c r="G27" i="6" s="1"/>
  <c r="E27" i="6"/>
  <c r="Q26" i="6"/>
  <c r="H26" i="6"/>
  <c r="F26" i="6"/>
  <c r="E26" i="6"/>
  <c r="R26" i="6" s="1"/>
  <c r="Q25" i="6"/>
  <c r="H25" i="6"/>
  <c r="F25" i="6"/>
  <c r="E25" i="6"/>
  <c r="R25" i="6" s="1"/>
  <c r="Q24" i="6"/>
  <c r="L24" i="6" a="1"/>
  <c r="L24" i="6" s="1"/>
  <c r="N24" i="6" s="1"/>
  <c r="H24" i="6"/>
  <c r="G24" i="6"/>
  <c r="F24" i="6"/>
  <c r="E24" i="6"/>
  <c r="R24" i="6" s="1"/>
  <c r="Q23" i="6"/>
  <c r="H23" i="6"/>
  <c r="F23" i="6"/>
  <c r="E23" i="6"/>
  <c r="R23" i="6" s="1"/>
  <c r="Q22" i="6"/>
  <c r="H22" i="6"/>
  <c r="F22" i="6"/>
  <c r="E22" i="6"/>
  <c r="Q21" i="6"/>
  <c r="H21" i="6"/>
  <c r="F21" i="6"/>
  <c r="E21" i="6"/>
  <c r="G21" i="6" s="1"/>
  <c r="Q20" i="6"/>
  <c r="R20" i="6" s="1"/>
  <c r="L20" i="6" a="1"/>
  <c r="L20" i="6"/>
  <c r="N20" i="6" s="1"/>
  <c r="H20" i="6"/>
  <c r="F20" i="6"/>
  <c r="E20" i="6"/>
  <c r="G20" i="6" s="1"/>
  <c r="R19" i="6"/>
  <c r="Q19" i="6"/>
  <c r="H19" i="6"/>
  <c r="G19" i="6"/>
  <c r="F19" i="6"/>
  <c r="E19" i="6"/>
  <c r="Q18" i="6"/>
  <c r="R18" i="6" s="1"/>
  <c r="H18" i="6"/>
  <c r="G18" i="6"/>
  <c r="F18" i="6"/>
  <c r="E18" i="6"/>
  <c r="Q17" i="6"/>
  <c r="R17" i="6" s="1"/>
  <c r="H17" i="6"/>
  <c r="F17" i="6"/>
  <c r="G17" i="6" s="1"/>
  <c r="E17" i="6"/>
  <c r="Q16" i="6"/>
  <c r="H16" i="6"/>
  <c r="F16" i="6"/>
  <c r="E16" i="6"/>
  <c r="R16" i="6" s="1"/>
  <c r="Q15" i="6"/>
  <c r="H15" i="6"/>
  <c r="F15" i="6"/>
  <c r="G15" i="6" s="1"/>
  <c r="E15" i="6"/>
  <c r="R15" i="6" s="1"/>
  <c r="Q14" i="6"/>
  <c r="L14" i="6" a="1"/>
  <c r="L14" i="6" s="1"/>
  <c r="N14" i="6" s="1"/>
  <c r="H14" i="6"/>
  <c r="G14" i="6"/>
  <c r="F14" i="6"/>
  <c r="E14" i="6"/>
  <c r="R14" i="6" s="1"/>
  <c r="Q13" i="6"/>
  <c r="H13" i="6"/>
  <c r="F13" i="6"/>
  <c r="E13" i="6"/>
  <c r="R13" i="6" s="1"/>
  <c r="Q12" i="6"/>
  <c r="H12" i="6"/>
  <c r="F12" i="6"/>
  <c r="E12" i="6"/>
  <c r="Q11" i="6"/>
  <c r="H11" i="6"/>
  <c r="F11" i="6"/>
  <c r="E11" i="6"/>
  <c r="G11" i="6" s="1"/>
  <c r="Q10" i="6"/>
  <c r="R10" i="6" s="1"/>
  <c r="L10" i="6" a="1"/>
  <c r="L10" i="6" s="1"/>
  <c r="N10" i="6" s="1"/>
  <c r="H10" i="6"/>
  <c r="F10" i="6"/>
  <c r="E10" i="6"/>
  <c r="G10" i="6" s="1"/>
  <c r="R9" i="6"/>
  <c r="Q9" i="6"/>
  <c r="H9" i="6"/>
  <c r="G9" i="6"/>
  <c r="F9" i="6"/>
  <c r="E9" i="6"/>
  <c r="Q8" i="6"/>
  <c r="R8" i="6" s="1"/>
  <c r="H8" i="6"/>
  <c r="G8" i="6"/>
  <c r="F8" i="6"/>
  <c r="E8" i="6"/>
  <c r="Q7" i="6"/>
  <c r="R7" i="6" s="1"/>
  <c r="H7" i="6"/>
  <c r="F7" i="6"/>
  <c r="G7" i="6" s="1"/>
  <c r="E7" i="6"/>
  <c r="R6" i="6"/>
  <c r="Q6" i="6"/>
  <c r="H6" i="6"/>
  <c r="F6" i="6"/>
  <c r="G6" i="6" s="1"/>
  <c r="E6" i="6"/>
  <c r="Q5" i="6"/>
  <c r="H5" i="6"/>
  <c r="G5" i="6"/>
  <c r="F5" i="6"/>
  <c r="E5" i="6"/>
  <c r="R5" i="6" s="1"/>
  <c r="Q4" i="6"/>
  <c r="L4" i="6" a="1"/>
  <c r="L4" i="6" s="1"/>
  <c r="N4" i="6" s="1"/>
  <c r="H4" i="6"/>
  <c r="G4" i="6"/>
  <c r="F4" i="6"/>
  <c r="E4" i="6"/>
  <c r="R4" i="6" s="1"/>
  <c r="Q3" i="6"/>
  <c r="H3" i="6"/>
  <c r="F3" i="6"/>
  <c r="E3" i="6"/>
  <c r="R3" i="6" s="1"/>
  <c r="Q2" i="6"/>
  <c r="H2" i="6"/>
  <c r="F2" i="6"/>
  <c r="E2" i="6"/>
  <c r="G105" i="5"/>
  <c r="F105" i="5"/>
  <c r="E105" i="5"/>
  <c r="G104" i="5"/>
  <c r="F104" i="5"/>
  <c r="E104" i="5"/>
  <c r="F103" i="5"/>
  <c r="E103" i="5"/>
  <c r="G103" i="5" s="1"/>
  <c r="F102" i="5"/>
  <c r="G102" i="5" s="1"/>
  <c r="E102" i="5"/>
  <c r="G101" i="5"/>
  <c r="F101" i="5"/>
  <c r="E101" i="5"/>
  <c r="F100" i="5"/>
  <c r="E100" i="5"/>
  <c r="G100" i="5" s="1"/>
  <c r="F99" i="5"/>
  <c r="E99" i="5"/>
  <c r="G99" i="5" s="1"/>
  <c r="G98" i="5"/>
  <c r="F98" i="5"/>
  <c r="E98" i="5"/>
  <c r="F97" i="5"/>
  <c r="E97" i="5"/>
  <c r="G97" i="5" s="1"/>
  <c r="F96" i="5"/>
  <c r="E96" i="5"/>
  <c r="G96" i="5" s="1"/>
  <c r="F95" i="5"/>
  <c r="E95" i="5"/>
  <c r="G95" i="5" s="1"/>
  <c r="G94" i="5"/>
  <c r="F94" i="5"/>
  <c r="E94" i="5"/>
  <c r="F93" i="5"/>
  <c r="E93" i="5"/>
  <c r="G93" i="5" s="1"/>
  <c r="F92" i="5"/>
  <c r="E92" i="5"/>
  <c r="G92" i="5" s="1"/>
  <c r="F91" i="5"/>
  <c r="G91" i="5" s="1"/>
  <c r="E91" i="5"/>
  <c r="F90" i="5"/>
  <c r="E90" i="5"/>
  <c r="G90" i="5" s="1"/>
  <c r="G89" i="5"/>
  <c r="F89" i="5"/>
  <c r="E89" i="5"/>
  <c r="F88" i="5"/>
  <c r="E88" i="5"/>
  <c r="G88" i="5" s="1"/>
  <c r="F87" i="5"/>
  <c r="E87" i="5"/>
  <c r="G87" i="5" s="1"/>
  <c r="F86" i="5"/>
  <c r="E86" i="5"/>
  <c r="G85" i="5"/>
  <c r="F85" i="5"/>
  <c r="E85" i="5"/>
  <c r="G84" i="5"/>
  <c r="F84" i="5"/>
  <c r="E84" i="5"/>
  <c r="F83" i="5"/>
  <c r="E83" i="5"/>
  <c r="G83" i="5" s="1"/>
  <c r="G82" i="5"/>
  <c r="F82" i="5"/>
  <c r="E82" i="5"/>
  <c r="F81" i="5"/>
  <c r="G81" i="5" s="1"/>
  <c r="E81" i="5"/>
  <c r="F80" i="5"/>
  <c r="E80" i="5"/>
  <c r="G80" i="5" s="1"/>
  <c r="F79" i="5"/>
  <c r="G79" i="5" s="1"/>
  <c r="E79" i="5"/>
  <c r="G78" i="5"/>
  <c r="F78" i="5"/>
  <c r="E78" i="5"/>
  <c r="F77" i="5"/>
  <c r="E77" i="5"/>
  <c r="G77" i="5" s="1"/>
  <c r="F76" i="5"/>
  <c r="E76" i="5"/>
  <c r="G76" i="5" s="1"/>
  <c r="F75" i="5"/>
  <c r="G75" i="5" s="1"/>
  <c r="E75" i="5"/>
  <c r="G74" i="5"/>
  <c r="F74" i="5"/>
  <c r="E74" i="5"/>
  <c r="F73" i="5"/>
  <c r="E73" i="5"/>
  <c r="G73" i="5" s="1"/>
  <c r="F72" i="5"/>
  <c r="E72" i="5"/>
  <c r="G72" i="5" s="1"/>
  <c r="G71" i="5"/>
  <c r="F71" i="5"/>
  <c r="E71" i="5"/>
  <c r="G70" i="5"/>
  <c r="F70" i="5"/>
  <c r="E70" i="5"/>
  <c r="F69" i="5"/>
  <c r="E69" i="5"/>
  <c r="G69" i="5" s="1"/>
  <c r="F68" i="5"/>
  <c r="G68" i="5" s="1"/>
  <c r="E68" i="5"/>
  <c r="F67" i="5"/>
  <c r="E67" i="5"/>
  <c r="G67" i="5" s="1"/>
  <c r="F66" i="5"/>
  <c r="E66" i="5"/>
  <c r="G66" i="5" s="1"/>
  <c r="F65" i="5"/>
  <c r="E65" i="5"/>
  <c r="G65" i="5" s="1"/>
  <c r="G64" i="5"/>
  <c r="F64" i="5"/>
  <c r="E64" i="5"/>
  <c r="F63" i="5"/>
  <c r="E63" i="5"/>
  <c r="G63" i="5" s="1"/>
  <c r="F62" i="5"/>
  <c r="E62" i="5"/>
  <c r="G62" i="5" s="1"/>
  <c r="F61" i="5"/>
  <c r="G61" i="5" s="1"/>
  <c r="E61" i="5"/>
  <c r="F60" i="5"/>
  <c r="E60" i="5"/>
  <c r="G60" i="5" s="1"/>
  <c r="G59" i="5"/>
  <c r="F59" i="5"/>
  <c r="E59" i="5"/>
  <c r="F58" i="5"/>
  <c r="E58" i="5"/>
  <c r="G58" i="5" s="1"/>
  <c r="F57" i="5"/>
  <c r="E57" i="5"/>
  <c r="G57" i="5" s="1"/>
  <c r="F56" i="5"/>
  <c r="E56" i="5"/>
  <c r="G55" i="5"/>
  <c r="F55" i="5"/>
  <c r="E55" i="5"/>
  <c r="G54" i="5"/>
  <c r="F54" i="5"/>
  <c r="E54" i="5"/>
  <c r="F53" i="5"/>
  <c r="E53" i="5"/>
  <c r="G53" i="5" s="1"/>
  <c r="G52" i="5"/>
  <c r="F52" i="5"/>
  <c r="E52" i="5"/>
  <c r="G51" i="5"/>
  <c r="F51" i="5"/>
  <c r="E51" i="5"/>
  <c r="F50" i="5"/>
  <c r="E50" i="5"/>
  <c r="G50" i="5" s="1"/>
  <c r="F49" i="5"/>
  <c r="E49" i="5"/>
  <c r="G49" i="5" s="1"/>
  <c r="G48" i="5"/>
  <c r="F48" i="5"/>
  <c r="E48" i="5"/>
  <c r="F47" i="5"/>
  <c r="E47" i="5"/>
  <c r="G47" i="5" s="1"/>
  <c r="F46" i="5"/>
  <c r="E46" i="5"/>
  <c r="G46" i="5" s="1"/>
  <c r="F45" i="5"/>
  <c r="E45" i="5"/>
  <c r="G45" i="5" s="1"/>
  <c r="G44" i="5"/>
  <c r="F44" i="5"/>
  <c r="E44" i="5"/>
  <c r="F43" i="5"/>
  <c r="E43" i="5"/>
  <c r="G43" i="5" s="1"/>
  <c r="F42" i="5"/>
  <c r="E42" i="5"/>
  <c r="G42" i="5" s="1"/>
  <c r="F41" i="5"/>
  <c r="G41" i="5" s="1"/>
  <c r="E41" i="5"/>
  <c r="G40" i="5"/>
  <c r="F40" i="5"/>
  <c r="E40" i="5"/>
  <c r="F39" i="5"/>
  <c r="E39" i="5"/>
  <c r="G39" i="5" s="1"/>
  <c r="F38" i="5"/>
  <c r="E38" i="5"/>
  <c r="G38" i="5" s="1"/>
  <c r="F37" i="5"/>
  <c r="E37" i="5"/>
  <c r="G37" i="5" s="1"/>
  <c r="F36" i="5"/>
  <c r="E36" i="5"/>
  <c r="F35" i="5"/>
  <c r="E35" i="5"/>
  <c r="G35" i="5" s="1"/>
  <c r="G34" i="5"/>
  <c r="F34" i="5"/>
  <c r="E34" i="5"/>
  <c r="F33" i="5"/>
  <c r="E33" i="5"/>
  <c r="G33" i="5" s="1"/>
  <c r="G32" i="5"/>
  <c r="F32" i="5"/>
  <c r="E32" i="5"/>
  <c r="F31" i="5"/>
  <c r="G31" i="5" s="1"/>
  <c r="E31" i="5"/>
  <c r="G30" i="5"/>
  <c r="F30" i="5"/>
  <c r="E30" i="5"/>
  <c r="G29" i="5"/>
  <c r="F29" i="5"/>
  <c r="E29" i="5"/>
  <c r="F28" i="5"/>
  <c r="E28" i="5"/>
  <c r="G28" i="5" s="1"/>
  <c r="F27" i="5"/>
  <c r="E27" i="5"/>
  <c r="G27" i="5" s="1"/>
  <c r="F26" i="5"/>
  <c r="E26" i="5"/>
  <c r="G25" i="5"/>
  <c r="F25" i="5"/>
  <c r="E25" i="5"/>
  <c r="G24" i="5"/>
  <c r="F24" i="5"/>
  <c r="E24" i="5"/>
  <c r="F23" i="5"/>
  <c r="E23" i="5"/>
  <c r="G23" i="5" s="1"/>
  <c r="G22" i="5"/>
  <c r="F22" i="5"/>
  <c r="E22" i="5"/>
  <c r="G21" i="5"/>
  <c r="F21" i="5"/>
  <c r="E21" i="5"/>
  <c r="F20" i="5"/>
  <c r="E20" i="5"/>
  <c r="G20" i="5" s="1"/>
  <c r="F19" i="5"/>
  <c r="E19" i="5"/>
  <c r="G19" i="5" s="1"/>
  <c r="G18" i="5"/>
  <c r="F18" i="5"/>
  <c r="E18" i="5"/>
  <c r="F17" i="5"/>
  <c r="E17" i="5"/>
  <c r="G17" i="5" s="1"/>
  <c r="F16" i="5"/>
  <c r="E16" i="5"/>
  <c r="G16" i="5" s="1"/>
  <c r="F15" i="5"/>
  <c r="E15" i="5"/>
  <c r="G15" i="5" s="1"/>
  <c r="G14" i="5"/>
  <c r="F14" i="5"/>
  <c r="E14" i="5"/>
  <c r="F13" i="5"/>
  <c r="E13" i="5"/>
  <c r="G13" i="5" s="1"/>
  <c r="F12" i="5"/>
  <c r="E12" i="5"/>
  <c r="G12" i="5" s="1"/>
  <c r="F11" i="5"/>
  <c r="G11" i="5" s="1"/>
  <c r="E11" i="5"/>
  <c r="G10" i="5"/>
  <c r="F10" i="5"/>
  <c r="E10" i="5"/>
  <c r="F9" i="5"/>
  <c r="E9" i="5"/>
  <c r="G9" i="5" s="1"/>
  <c r="F8" i="5"/>
  <c r="E8" i="5"/>
  <c r="G8" i="5" s="1"/>
  <c r="F7" i="5"/>
  <c r="E7" i="5"/>
  <c r="G7" i="5" s="1"/>
  <c r="F6" i="5"/>
  <c r="E6" i="5"/>
  <c r="F5" i="5"/>
  <c r="E5" i="5"/>
  <c r="G5" i="5" s="1"/>
  <c r="G4" i="5"/>
  <c r="F4" i="5"/>
  <c r="E4" i="5"/>
  <c r="F3" i="5"/>
  <c r="E3" i="5"/>
  <c r="G3" i="5" s="1"/>
  <c r="F2" i="5"/>
  <c r="E2" i="5"/>
  <c r="G2" i="5" s="1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E9" i="2"/>
  <c r="E8" i="2"/>
  <c r="E7" i="2"/>
  <c r="E6" i="2"/>
  <c r="E5" i="2"/>
  <c r="E4" i="2"/>
  <c r="E3" i="2"/>
  <c r="M23" i="6" s="1" a="1"/>
  <c r="M23" i="6" s="1"/>
  <c r="E2" i="2"/>
  <c r="L95" i="6" s="1" a="1"/>
  <c r="L95" i="6" s="1"/>
  <c r="N95" i="6" s="1"/>
  <c r="I67" i="6" l="1"/>
  <c r="J67" i="6" s="1"/>
  <c r="I15" i="6"/>
  <c r="J15" i="6" s="1"/>
  <c r="I5" i="6"/>
  <c r="J5" i="6" s="1"/>
  <c r="I35" i="6"/>
  <c r="J35" i="6" s="1"/>
  <c r="K35" i="6" s="1"/>
  <c r="I81" i="6"/>
  <c r="J81" i="6" s="1"/>
  <c r="K81" i="6" s="1"/>
  <c r="I16" i="6"/>
  <c r="J16" i="6" s="1"/>
  <c r="U16" i="6" s="1"/>
  <c r="I71" i="6"/>
  <c r="J71" i="6" s="1"/>
  <c r="I47" i="6"/>
  <c r="J47" i="6" s="1"/>
  <c r="I75" i="6"/>
  <c r="J75" i="6" s="1"/>
  <c r="K75" i="6" s="1"/>
  <c r="I2" i="7"/>
  <c r="J2" i="7" s="1"/>
  <c r="K2" i="7" s="1"/>
  <c r="I29" i="6"/>
  <c r="J29" i="6" s="1"/>
  <c r="I38" i="6"/>
  <c r="J38" i="6" s="1"/>
  <c r="K38" i="6" s="1"/>
  <c r="I10" i="7"/>
  <c r="J10" i="7" s="1"/>
  <c r="I6" i="6"/>
  <c r="J6" i="6" s="1"/>
  <c r="I25" i="6"/>
  <c r="J25" i="6" s="1"/>
  <c r="I36" i="6"/>
  <c r="J36" i="6" s="1"/>
  <c r="I63" i="6"/>
  <c r="J63" i="6" s="1"/>
  <c r="U63" i="6" s="1"/>
  <c r="I65" i="6"/>
  <c r="J65" i="6" s="1"/>
  <c r="K65" i="6" s="1"/>
  <c r="I2" i="6"/>
  <c r="J2" i="6" s="1"/>
  <c r="K2" i="6" s="1"/>
  <c r="I17" i="6"/>
  <c r="J17" i="6" s="1"/>
  <c r="K17" i="6" s="1"/>
  <c r="I19" i="6"/>
  <c r="J19" i="6" s="1"/>
  <c r="I28" i="6"/>
  <c r="J28" i="6" s="1"/>
  <c r="K28" i="6" s="1"/>
  <c r="I26" i="6"/>
  <c r="J26" i="6" s="1"/>
  <c r="I46" i="6"/>
  <c r="J46" i="6" s="1"/>
  <c r="I7" i="6"/>
  <c r="J7" i="6" s="1"/>
  <c r="K7" i="6" s="1"/>
  <c r="I9" i="6"/>
  <c r="J9" i="6" s="1"/>
  <c r="K9" i="6" s="1"/>
  <c r="I39" i="6"/>
  <c r="J39" i="6" s="1"/>
  <c r="K39" i="6" s="1"/>
  <c r="K67" i="6"/>
  <c r="V67" i="6"/>
  <c r="V19" i="6"/>
  <c r="K19" i="6"/>
  <c r="K5" i="6"/>
  <c r="K71" i="6"/>
  <c r="V47" i="6"/>
  <c r="K47" i="6"/>
  <c r="K63" i="6"/>
  <c r="K10" i="7"/>
  <c r="K29" i="6"/>
  <c r="U29" i="6"/>
  <c r="V29" i="6"/>
  <c r="K6" i="6"/>
  <c r="K36" i="6"/>
  <c r="K15" i="6"/>
  <c r="U26" i="6"/>
  <c r="K26" i="6"/>
  <c r="R41" i="6"/>
  <c r="G12" i="6"/>
  <c r="R12" i="6"/>
  <c r="M13" i="6" a="1"/>
  <c r="M13" i="6" s="1"/>
  <c r="G26" i="6"/>
  <c r="M33" i="6" a="1"/>
  <c r="M33" i="6" s="1"/>
  <c r="G35" i="6"/>
  <c r="R36" i="6"/>
  <c r="L40" i="6" a="1"/>
  <c r="L40" i="6" s="1"/>
  <c r="N40" i="6" s="1"/>
  <c r="M57" i="6" a="1"/>
  <c r="M57" i="6" s="1"/>
  <c r="L79" i="6" a="1"/>
  <c r="L79" i="6" s="1"/>
  <c r="N79" i="6" s="1"/>
  <c r="G86" i="5"/>
  <c r="L3" i="6" a="1"/>
  <c r="L3" i="6" s="1"/>
  <c r="N3" i="6" s="1"/>
  <c r="I8" i="6"/>
  <c r="J8" i="6" s="1"/>
  <c r="M12" i="6" a="1"/>
  <c r="M12" i="6" s="1"/>
  <c r="R21" i="6"/>
  <c r="I23" i="6"/>
  <c r="J23" i="6" s="1"/>
  <c r="L29" i="6" a="1"/>
  <c r="L29" i="6" s="1"/>
  <c r="N29" i="6" s="1"/>
  <c r="I30" i="6"/>
  <c r="J30" i="6" s="1"/>
  <c r="L32" i="6" a="1"/>
  <c r="L32" i="6" s="1"/>
  <c r="N32" i="6" s="1"/>
  <c r="M36" i="6" a="1"/>
  <c r="M36" i="6" s="1"/>
  <c r="I37" i="6"/>
  <c r="J37" i="6" s="1"/>
  <c r="M41" i="6" a="1"/>
  <c r="M41" i="6" s="1"/>
  <c r="I52" i="6"/>
  <c r="J52" i="6" s="1"/>
  <c r="I55" i="6"/>
  <c r="J55" i="6" s="1"/>
  <c r="I56" i="6"/>
  <c r="J56" i="6" s="1"/>
  <c r="I60" i="6"/>
  <c r="J60" i="6" s="1"/>
  <c r="M62" i="6" a="1"/>
  <c r="M62" i="6" s="1"/>
  <c r="L76" i="6" a="1"/>
  <c r="L76" i="6" s="1"/>
  <c r="N76" i="6" s="1"/>
  <c r="L77" i="6" a="1"/>
  <c r="L77" i="6" s="1"/>
  <c r="N77" i="6" s="1"/>
  <c r="R87" i="6"/>
  <c r="I94" i="6"/>
  <c r="J94" i="6" s="1"/>
  <c r="G104" i="6"/>
  <c r="I30" i="7"/>
  <c r="J30" i="7" s="1"/>
  <c r="I48" i="7"/>
  <c r="J48" i="7" s="1"/>
  <c r="B6" i="9"/>
  <c r="B7" i="9" s="1"/>
  <c r="B6" i="8"/>
  <c r="B7" i="8" s="1"/>
  <c r="G2" i="6"/>
  <c r="R2" i="6"/>
  <c r="L23" i="6" a="1"/>
  <c r="L23" i="6" s="1"/>
  <c r="N23" i="6" s="1"/>
  <c r="M32" i="6" a="1"/>
  <c r="M32" i="6" s="1"/>
  <c r="M98" i="7" a="1"/>
  <c r="M98" i="7" s="1"/>
  <c r="L96" i="7" a="1"/>
  <c r="L96" i="7" s="1"/>
  <c r="N96" i="7" s="1"/>
  <c r="M88" i="7" a="1"/>
  <c r="M88" i="7" s="1"/>
  <c r="M99" i="7" a="1"/>
  <c r="M99" i="7" s="1"/>
  <c r="L97" i="7" a="1"/>
  <c r="L97" i="7" s="1"/>
  <c r="N97" i="7" s="1"/>
  <c r="M89" i="7" a="1"/>
  <c r="M89" i="7" s="1"/>
  <c r="M100" i="7" a="1"/>
  <c r="M100" i="7" s="1"/>
  <c r="M101" i="7" a="1"/>
  <c r="M101" i="7" s="1"/>
  <c r="M102" i="7" a="1"/>
  <c r="M102" i="7" s="1"/>
  <c r="L100" i="7" a="1"/>
  <c r="L100" i="7" s="1"/>
  <c r="N100" i="7" s="1"/>
  <c r="M92" i="7" a="1"/>
  <c r="M92" i="7" s="1"/>
  <c r="L90" i="7" a="1"/>
  <c r="L90" i="7" s="1"/>
  <c r="N90" i="7" s="1"/>
  <c r="M82" i="7" a="1"/>
  <c r="M82" i="7" s="1"/>
  <c r="L80" i="7" a="1"/>
  <c r="L80" i="7" s="1"/>
  <c r="N80" i="7" s="1"/>
  <c r="M72" i="7" a="1"/>
  <c r="M72" i="7" s="1"/>
  <c r="L70" i="7" a="1"/>
  <c r="L70" i="7" s="1"/>
  <c r="N70" i="7" s="1"/>
  <c r="M62" i="7" a="1"/>
  <c r="M62" i="7" s="1"/>
  <c r="L60" i="7" a="1"/>
  <c r="L60" i="7" s="1"/>
  <c r="N60" i="7" s="1"/>
  <c r="M52" i="7" a="1"/>
  <c r="M52" i="7" s="1"/>
  <c r="M103" i="7" a="1"/>
  <c r="M103" i="7" s="1"/>
  <c r="L101" i="7" a="1"/>
  <c r="L101" i="7" s="1"/>
  <c r="N101" i="7" s="1"/>
  <c r="M104" i="7" a="1"/>
  <c r="M104" i="7" s="1"/>
  <c r="M105" i="7" a="1"/>
  <c r="M105" i="7" s="1"/>
  <c r="L103" i="7" a="1"/>
  <c r="L103" i="7" s="1"/>
  <c r="N103" i="7" s="1"/>
  <c r="M95" i="7" a="1"/>
  <c r="M95" i="7" s="1"/>
  <c r="L104" i="7" a="1"/>
  <c r="L104" i="7" s="1"/>
  <c r="N104" i="7" s="1"/>
  <c r="M96" i="7" a="1"/>
  <c r="M96" i="7" s="1"/>
  <c r="L94" i="7" a="1"/>
  <c r="L94" i="7" s="1"/>
  <c r="N94" i="7" s="1"/>
  <c r="M86" i="7" a="1"/>
  <c r="M86" i="7" s="1"/>
  <c r="L84" i="7" a="1"/>
  <c r="L84" i="7" s="1"/>
  <c r="N84" i="7" s="1"/>
  <c r="M76" i="7" a="1"/>
  <c r="M76" i="7" s="1"/>
  <c r="L74" i="7" a="1"/>
  <c r="L74" i="7" s="1"/>
  <c r="N74" i="7" s="1"/>
  <c r="M66" i="7" a="1"/>
  <c r="M66" i="7" s="1"/>
  <c r="L64" i="7" a="1"/>
  <c r="L64" i="7" s="1"/>
  <c r="N64" i="7" s="1"/>
  <c r="M56" i="7" a="1"/>
  <c r="M56" i="7" s="1"/>
  <c r="L54" i="7" a="1"/>
  <c r="L54" i="7" s="1"/>
  <c r="N54" i="7" s="1"/>
  <c r="L105" i="7" a="1"/>
  <c r="L105" i="7" s="1"/>
  <c r="N105" i="7" s="1"/>
  <c r="M97" i="7" a="1"/>
  <c r="M97" i="7" s="1"/>
  <c r="L95" i="7" a="1"/>
  <c r="L95" i="7" s="1"/>
  <c r="N95" i="7" s="1"/>
  <c r="M87" i="7" a="1"/>
  <c r="M87" i="7" s="1"/>
  <c r="L85" i="7" a="1"/>
  <c r="L85" i="7" s="1"/>
  <c r="N85" i="7" s="1"/>
  <c r="L99" i="7" a="1"/>
  <c r="L99" i="7" s="1"/>
  <c r="N99" i="7" s="1"/>
  <c r="L98" i="7" a="1"/>
  <c r="L98" i="7" s="1"/>
  <c r="N98" i="7" s="1"/>
  <c r="M78" i="7" a="1"/>
  <c r="M78" i="7" s="1"/>
  <c r="L75" i="7" a="1"/>
  <c r="L75" i="7" s="1"/>
  <c r="N75" i="7" s="1"/>
  <c r="M73" i="7" a="1"/>
  <c r="M73" i="7" s="1"/>
  <c r="M68" i="7" a="1"/>
  <c r="M68" i="7" s="1"/>
  <c r="L65" i="7" a="1"/>
  <c r="L65" i="7" s="1"/>
  <c r="N65" i="7" s="1"/>
  <c r="M63" i="7" a="1"/>
  <c r="M63" i="7" s="1"/>
  <c r="M58" i="7" a="1"/>
  <c r="M58" i="7" s="1"/>
  <c r="L55" i="7" a="1"/>
  <c r="L55" i="7" s="1"/>
  <c r="N55" i="7" s="1"/>
  <c r="M53" i="7" a="1"/>
  <c r="M53" i="7" s="1"/>
  <c r="M46" i="7" a="1"/>
  <c r="M46" i="7" s="1"/>
  <c r="L44" i="7" a="1"/>
  <c r="L44" i="7" s="1"/>
  <c r="N44" i="7" s="1"/>
  <c r="L89" i="7" a="1"/>
  <c r="L89" i="7" s="1"/>
  <c r="N89" i="7" s="1"/>
  <c r="L82" i="7" a="1"/>
  <c r="L82" i="7" s="1"/>
  <c r="N82" i="7" s="1"/>
  <c r="M47" i="7" a="1"/>
  <c r="M47" i="7" s="1"/>
  <c r="L45" i="7" a="1"/>
  <c r="L45" i="7" s="1"/>
  <c r="N45" i="7" s="1"/>
  <c r="M37" i="7" a="1"/>
  <c r="M37" i="7" s="1"/>
  <c r="L35" i="7" a="1"/>
  <c r="L35" i="7" s="1"/>
  <c r="N35" i="7" s="1"/>
  <c r="M94" i="7" a="1"/>
  <c r="M94" i="7" s="1"/>
  <c r="M93" i="7" a="1"/>
  <c r="M93" i="7" s="1"/>
  <c r="M84" i="7" a="1"/>
  <c r="M84" i="7" s="1"/>
  <c r="L78" i="7" a="1"/>
  <c r="L78" i="7" s="1"/>
  <c r="N78" i="7" s="1"/>
  <c r="L73" i="7" a="1"/>
  <c r="L73" i="7" s="1"/>
  <c r="N73" i="7" s="1"/>
  <c r="L68" i="7" a="1"/>
  <c r="L68" i="7" s="1"/>
  <c r="N68" i="7" s="1"/>
  <c r="L63" i="7" a="1"/>
  <c r="L63" i="7" s="1"/>
  <c r="N63" i="7" s="1"/>
  <c r="L58" i="7" a="1"/>
  <c r="L58" i="7" s="1"/>
  <c r="N58" i="7" s="1"/>
  <c r="L53" i="7" a="1"/>
  <c r="L53" i="7" s="1"/>
  <c r="N53" i="7" s="1"/>
  <c r="M48" i="7" a="1"/>
  <c r="M48" i="7" s="1"/>
  <c r="L46" i="7" a="1"/>
  <c r="L46" i="7" s="1"/>
  <c r="N46" i="7" s="1"/>
  <c r="M38" i="7" a="1"/>
  <c r="M38" i="7" s="1"/>
  <c r="M71" i="7" a="1"/>
  <c r="M71" i="7" s="1"/>
  <c r="M80" i="7" a="1"/>
  <c r="M80" i="7" s="1"/>
  <c r="M75" i="7" a="1"/>
  <c r="M75" i="7" s="1"/>
  <c r="M70" i="7" a="1"/>
  <c r="M70" i="7" s="1"/>
  <c r="M65" i="7" a="1"/>
  <c r="M65" i="7" s="1"/>
  <c r="M60" i="7" a="1"/>
  <c r="M60" i="7" s="1"/>
  <c r="M55" i="7" a="1"/>
  <c r="M55" i="7" s="1"/>
  <c r="M45" i="7" a="1"/>
  <c r="M45" i="7" s="1"/>
  <c r="L93" i="7" a="1"/>
  <c r="L93" i="7" s="1"/>
  <c r="N93" i="7" s="1"/>
  <c r="M83" i="7" a="1"/>
  <c r="M83" i="7" s="1"/>
  <c r="L81" i="7" a="1"/>
  <c r="L81" i="7" s="1"/>
  <c r="N81" i="7" s="1"/>
  <c r="L71" i="7" a="1"/>
  <c r="L71" i="7" s="1"/>
  <c r="N71" i="7" s="1"/>
  <c r="M44" i="7" a="1"/>
  <c r="M44" i="7" s="1"/>
  <c r="M39" i="7" a="1"/>
  <c r="M39" i="7" s="1"/>
  <c r="M35" i="7" a="1"/>
  <c r="M35" i="7" s="1"/>
  <c r="M23" i="7" a="1"/>
  <c r="M23" i="7" s="1"/>
  <c r="L88" i="7" a="1"/>
  <c r="L88" i="7" s="1"/>
  <c r="N88" i="7" s="1"/>
  <c r="L69" i="7" a="1"/>
  <c r="L69" i="7" s="1"/>
  <c r="N69" i="7" s="1"/>
  <c r="L67" i="7" a="1"/>
  <c r="L67" i="7" s="1"/>
  <c r="N67" i="7" s="1"/>
  <c r="M59" i="7" a="1"/>
  <c r="M59" i="7" s="1"/>
  <c r="L49" i="7" a="1"/>
  <c r="L49" i="7" s="1"/>
  <c r="N49" i="7" s="1"/>
  <c r="M41" i="7" a="1"/>
  <c r="M41" i="7" s="1"/>
  <c r="M32" i="7" a="1"/>
  <c r="M32" i="7" s="1"/>
  <c r="L31" i="7" a="1"/>
  <c r="L31" i="7" s="1"/>
  <c r="N31" i="7" s="1"/>
  <c r="M24" i="7" a="1"/>
  <c r="M24" i="7" s="1"/>
  <c r="L87" i="7" a="1"/>
  <c r="L87" i="7" s="1"/>
  <c r="N87" i="7" s="1"/>
  <c r="L86" i="7" a="1"/>
  <c r="L86" i="7" s="1"/>
  <c r="N86" i="7" s="1"/>
  <c r="L83" i="7" a="1"/>
  <c r="L83" i="7" s="1"/>
  <c r="N83" i="7" s="1"/>
  <c r="L72" i="7" a="1"/>
  <c r="L72" i="7" s="1"/>
  <c r="N72" i="7" s="1"/>
  <c r="L66" i="7" a="1"/>
  <c r="L66" i="7" s="1"/>
  <c r="N66" i="7" s="1"/>
  <c r="L39" i="7" a="1"/>
  <c r="L39" i="7" s="1"/>
  <c r="N39" i="7" s="1"/>
  <c r="M25" i="7" a="1"/>
  <c r="M25" i="7" s="1"/>
  <c r="L23" i="7" a="1"/>
  <c r="L23" i="7" s="1"/>
  <c r="N23" i="7" s="1"/>
  <c r="M15" i="7" a="1"/>
  <c r="M15" i="7" s="1"/>
  <c r="L92" i="7" a="1"/>
  <c r="L92" i="7" s="1"/>
  <c r="N92" i="7" s="1"/>
  <c r="L91" i="7" a="1"/>
  <c r="L91" i="7" s="1"/>
  <c r="N91" i="7" s="1"/>
  <c r="M81" i="7" a="1"/>
  <c r="M81" i="7" s="1"/>
  <c r="L79" i="7" a="1"/>
  <c r="L79" i="7" s="1"/>
  <c r="N79" i="7" s="1"/>
  <c r="L77" i="7" a="1"/>
  <c r="L77" i="7" s="1"/>
  <c r="N77" i="7" s="1"/>
  <c r="L76" i="7" a="1"/>
  <c r="L76" i="7" s="1"/>
  <c r="N76" i="7" s="1"/>
  <c r="M74" i="7" a="1"/>
  <c r="M74" i="7" s="1"/>
  <c r="M69" i="7" a="1"/>
  <c r="M69" i="7" s="1"/>
  <c r="M67" i="7" a="1"/>
  <c r="M67" i="7" s="1"/>
  <c r="L62" i="7" a="1"/>
  <c r="L62" i="7" s="1"/>
  <c r="N62" i="7" s="1"/>
  <c r="L61" i="7" a="1"/>
  <c r="L61" i="7" s="1"/>
  <c r="N61" i="7" s="1"/>
  <c r="M54" i="7" a="1"/>
  <c r="M54" i="7" s="1"/>
  <c r="L52" i="7" a="1"/>
  <c r="L52" i="7" s="1"/>
  <c r="N52" i="7" s="1"/>
  <c r="L51" i="7" a="1"/>
  <c r="L51" i="7" s="1"/>
  <c r="N51" i="7" s="1"/>
  <c r="L41" i="7" a="1"/>
  <c r="L41" i="7" s="1"/>
  <c r="N41" i="7" s="1"/>
  <c r="M40" i="7" a="1"/>
  <c r="M40" i="7" s="1"/>
  <c r="M36" i="7" a="1"/>
  <c r="M36" i="7" s="1"/>
  <c r="M30" i="7" a="1"/>
  <c r="M30" i="7" s="1"/>
  <c r="L28" i="7" a="1"/>
  <c r="L28" i="7" s="1"/>
  <c r="N28" i="7" s="1"/>
  <c r="L21" i="7" a="1"/>
  <c r="L21" i="7" s="1"/>
  <c r="N21" i="7" s="1"/>
  <c r="M18" i="7" a="1"/>
  <c r="M18" i="7" s="1"/>
  <c r="L17" i="7" a="1"/>
  <c r="L17" i="7" s="1"/>
  <c r="N17" i="7" s="1"/>
  <c r="M13" i="7" a="1"/>
  <c r="M13" i="7" s="1"/>
  <c r="L11" i="7" a="1"/>
  <c r="L11" i="7" s="1"/>
  <c r="N11" i="7" s="1"/>
  <c r="M3" i="7" a="1"/>
  <c r="M3" i="7" s="1"/>
  <c r="L104" i="6" a="1"/>
  <c r="L104" i="6" s="1"/>
  <c r="N104" i="6" s="1"/>
  <c r="L50" i="7" a="1"/>
  <c r="L50" i="7" s="1"/>
  <c r="N50" i="7" s="1"/>
  <c r="M49" i="7" a="1"/>
  <c r="M49" i="7" s="1"/>
  <c r="L48" i="7" a="1"/>
  <c r="L48" i="7" s="1"/>
  <c r="N48" i="7" s="1"/>
  <c r="L42" i="7" a="1"/>
  <c r="L42" i="7" s="1"/>
  <c r="N42" i="7" s="1"/>
  <c r="L36" i="7" a="1"/>
  <c r="L36" i="7" s="1"/>
  <c r="N36" i="7" s="1"/>
  <c r="L33" i="7" a="1"/>
  <c r="L33" i="7" s="1"/>
  <c r="N33" i="7" s="1"/>
  <c r="M22" i="7" a="1"/>
  <c r="M22" i="7" s="1"/>
  <c r="L12" i="7" a="1"/>
  <c r="L12" i="7" s="1"/>
  <c r="N12" i="7" s="1"/>
  <c r="M4" i="7" a="1"/>
  <c r="M4" i="7" s="1"/>
  <c r="L2" i="7" a="1"/>
  <c r="L2" i="7" s="1"/>
  <c r="N2" i="7" s="1"/>
  <c r="L105" i="6" a="1"/>
  <c r="L105" i="6" s="1"/>
  <c r="N105" i="6" s="1"/>
  <c r="M77" i="7" a="1"/>
  <c r="M77" i="7" s="1"/>
  <c r="L59" i="7" a="1"/>
  <c r="L59" i="7" s="1"/>
  <c r="N59" i="7" s="1"/>
  <c r="L40" i="7" a="1"/>
  <c r="L40" i="7" s="1"/>
  <c r="N40" i="7" s="1"/>
  <c r="L30" i="7" a="1"/>
  <c r="L30" i="7" s="1"/>
  <c r="N30" i="7" s="1"/>
  <c r="L18" i="7" a="1"/>
  <c r="L18" i="7" s="1"/>
  <c r="N18" i="7" s="1"/>
  <c r="M14" i="7" a="1"/>
  <c r="M14" i="7" s="1"/>
  <c r="L13" i="7" a="1"/>
  <c r="L13" i="7" s="1"/>
  <c r="N13" i="7" s="1"/>
  <c r="M5" i="7" a="1"/>
  <c r="M5" i="7" s="1"/>
  <c r="L3" i="7" a="1"/>
  <c r="L3" i="7" s="1"/>
  <c r="N3" i="7" s="1"/>
  <c r="M90" i="7" a="1"/>
  <c r="M90" i="7" s="1"/>
  <c r="M85" i="7" a="1"/>
  <c r="M85" i="7" s="1"/>
  <c r="L57" i="7" a="1"/>
  <c r="L57" i="7" s="1"/>
  <c r="N57" i="7" s="1"/>
  <c r="M50" i="7" a="1"/>
  <c r="M50" i="7" s="1"/>
  <c r="L43" i="7" a="1"/>
  <c r="L43" i="7" s="1"/>
  <c r="N43" i="7" s="1"/>
  <c r="M42" i="7" a="1"/>
  <c r="M42" i="7" s="1"/>
  <c r="L34" i="7" a="1"/>
  <c r="L34" i="7" s="1"/>
  <c r="N34" i="7" s="1"/>
  <c r="M33" i="7" a="1"/>
  <c r="M33" i="7" s="1"/>
  <c r="L26" i="7" a="1"/>
  <c r="L26" i="7" s="1"/>
  <c r="N26" i="7" s="1"/>
  <c r="L24" i="7" a="1"/>
  <c r="L24" i="7" s="1"/>
  <c r="N24" i="7" s="1"/>
  <c r="M12" i="7" a="1"/>
  <c r="M12" i="7" s="1"/>
  <c r="L10" i="7" a="1"/>
  <c r="L10" i="7" s="1"/>
  <c r="N10" i="7" s="1"/>
  <c r="M2" i="7" a="1"/>
  <c r="M2" i="7" s="1"/>
  <c r="M105" i="6" a="1"/>
  <c r="M105" i="6" s="1"/>
  <c r="L37" i="7" a="1"/>
  <c r="L37" i="7" s="1"/>
  <c r="N37" i="7" s="1"/>
  <c r="L19" i="7" a="1"/>
  <c r="L19" i="7" s="1"/>
  <c r="N19" i="7" s="1"/>
  <c r="L9" i="7" a="1"/>
  <c r="L9" i="7" s="1"/>
  <c r="N9" i="7" s="1"/>
  <c r="M8" i="7" a="1"/>
  <c r="M8" i="7" s="1"/>
  <c r="M101" i="6" a="1"/>
  <c r="M101" i="6" s="1"/>
  <c r="M94" i="6" a="1"/>
  <c r="M94" i="6" s="1"/>
  <c r="L92" i="6" a="1"/>
  <c r="L92" i="6" s="1"/>
  <c r="N92" i="6" s="1"/>
  <c r="M84" i="6" a="1"/>
  <c r="M84" i="6" s="1"/>
  <c r="L82" i="6" a="1"/>
  <c r="L82" i="6" s="1"/>
  <c r="N82" i="6" s="1"/>
  <c r="M74" i="6" a="1"/>
  <c r="M74" i="6" s="1"/>
  <c r="L72" i="6" a="1"/>
  <c r="L72" i="6" s="1"/>
  <c r="N72" i="6" s="1"/>
  <c r="M64" i="6" a="1"/>
  <c r="M64" i="6" s="1"/>
  <c r="L62" i="6" a="1"/>
  <c r="L62" i="6" s="1"/>
  <c r="N62" i="6" s="1"/>
  <c r="M91" i="7" a="1"/>
  <c r="M91" i="7" s="1"/>
  <c r="L15" i="7" a="1"/>
  <c r="L15" i="7" s="1"/>
  <c r="N15" i="7" s="1"/>
  <c r="L5" i="7" a="1"/>
  <c r="L5" i="7" s="1"/>
  <c r="N5" i="7" s="1"/>
  <c r="M95" i="6" a="1"/>
  <c r="M95" i="6" s="1"/>
  <c r="L93" i="6" a="1"/>
  <c r="L93" i="6" s="1"/>
  <c r="N93" i="6" s="1"/>
  <c r="M85" i="6" a="1"/>
  <c r="M85" i="6" s="1"/>
  <c r="L83" i="6" a="1"/>
  <c r="L83" i="6" s="1"/>
  <c r="N83" i="6" s="1"/>
  <c r="M75" i="6" a="1"/>
  <c r="M75" i="6" s="1"/>
  <c r="L73" i="6" a="1"/>
  <c r="L73" i="6" s="1"/>
  <c r="N73" i="6" s="1"/>
  <c r="M65" i="6" a="1"/>
  <c r="M65" i="6" s="1"/>
  <c r="L63" i="6" a="1"/>
  <c r="L63" i="6" s="1"/>
  <c r="N63" i="6" s="1"/>
  <c r="M55" i="6" a="1"/>
  <c r="M55" i="6" s="1"/>
  <c r="L53" i="6" a="1"/>
  <c r="L53" i="6" s="1"/>
  <c r="N53" i="6" s="1"/>
  <c r="M64" i="7" a="1"/>
  <c r="M64" i="7" s="1"/>
  <c r="L8" i="7" a="1"/>
  <c r="L8" i="7" s="1"/>
  <c r="N8" i="7" s="1"/>
  <c r="M103" i="6" a="1"/>
  <c r="M103" i="6" s="1"/>
  <c r="L101" i="6" a="1"/>
  <c r="L101" i="6" s="1"/>
  <c r="N101" i="6" s="1"/>
  <c r="M96" i="6" a="1"/>
  <c r="M96" i="6" s="1"/>
  <c r="L94" i="6" a="1"/>
  <c r="L94" i="6" s="1"/>
  <c r="N94" i="6" s="1"/>
  <c r="M86" i="6" a="1"/>
  <c r="M86" i="6" s="1"/>
  <c r="L84" i="6" a="1"/>
  <c r="L84" i="6" s="1"/>
  <c r="N84" i="6" s="1"/>
  <c r="M76" i="6" a="1"/>
  <c r="M76" i="6" s="1"/>
  <c r="L74" i="6" a="1"/>
  <c r="L74" i="6" s="1"/>
  <c r="N74" i="6" s="1"/>
  <c r="M66" i="6" a="1"/>
  <c r="M66" i="6" s="1"/>
  <c r="L64" i="6" a="1"/>
  <c r="L64" i="6" s="1"/>
  <c r="N64" i="6" s="1"/>
  <c r="M56" i="6" a="1"/>
  <c r="M56" i="6" s="1"/>
  <c r="L54" i="6" a="1"/>
  <c r="L54" i="6" s="1"/>
  <c r="N54" i="6" s="1"/>
  <c r="M79" i="7" a="1"/>
  <c r="M79" i="7" s="1"/>
  <c r="L22" i="7" a="1"/>
  <c r="L22" i="7" s="1"/>
  <c r="N22" i="7" s="1"/>
  <c r="L38" i="7" a="1"/>
  <c r="L38" i="7" s="1"/>
  <c r="N38" i="7" s="1"/>
  <c r="M31" i="7" a="1"/>
  <c r="M31" i="7" s="1"/>
  <c r="M104" i="6" a="1"/>
  <c r="M104" i="6" s="1"/>
  <c r="L100" i="6" a="1"/>
  <c r="L100" i="6" s="1"/>
  <c r="N100" i="6" s="1"/>
  <c r="M93" i="6" a="1"/>
  <c r="M93" i="6" s="1"/>
  <c r="L91" i="6" a="1"/>
  <c r="L91" i="6" s="1"/>
  <c r="N91" i="6" s="1"/>
  <c r="M83" i="6" a="1"/>
  <c r="M83" i="6" s="1"/>
  <c r="L81" i="6" a="1"/>
  <c r="L81" i="6" s="1"/>
  <c r="N81" i="6" s="1"/>
  <c r="M73" i="6" a="1"/>
  <c r="M73" i="6" s="1"/>
  <c r="L71" i="6" a="1"/>
  <c r="L71" i="6" s="1"/>
  <c r="N71" i="6" s="1"/>
  <c r="L14" i="7" a="1"/>
  <c r="L14" i="7" s="1"/>
  <c r="N14" i="7" s="1"/>
  <c r="M7" i="7" a="1"/>
  <c r="M7" i="7" s="1"/>
  <c r="L4" i="7" a="1"/>
  <c r="L4" i="7" s="1"/>
  <c r="N4" i="7" s="1"/>
  <c r="L103" i="6" a="1"/>
  <c r="L103" i="6" s="1"/>
  <c r="N103" i="6" s="1"/>
  <c r="M102" i="6" a="1"/>
  <c r="M102" i="6" s="1"/>
  <c r="L97" i="6" a="1"/>
  <c r="L97" i="6" s="1"/>
  <c r="N97" i="6" s="1"/>
  <c r="M91" i="6" a="1"/>
  <c r="M91" i="6" s="1"/>
  <c r="M87" i="6" a="1"/>
  <c r="M87" i="6" s="1"/>
  <c r="L85" i="6" a="1"/>
  <c r="L85" i="6" s="1"/>
  <c r="N85" i="6" s="1"/>
  <c r="M69" i="6" a="1"/>
  <c r="M69" i="6" s="1"/>
  <c r="L61" i="6" a="1"/>
  <c r="L61" i="6" s="1"/>
  <c r="N61" i="6" s="1"/>
  <c r="L55" i="6" a="1"/>
  <c r="L55" i="6" s="1"/>
  <c r="N55" i="6" s="1"/>
  <c r="M48" i="6" a="1"/>
  <c r="M48" i="6" s="1"/>
  <c r="L46" i="6" a="1"/>
  <c r="L46" i="6" s="1"/>
  <c r="N46" i="6" s="1"/>
  <c r="M38" i="6" a="1"/>
  <c r="M38" i="6" s="1"/>
  <c r="L36" i="6" a="1"/>
  <c r="L36" i="6" s="1"/>
  <c r="N36" i="6" s="1"/>
  <c r="M28" i="6" a="1"/>
  <c r="M28" i="6" s="1"/>
  <c r="L26" i="6" a="1"/>
  <c r="L26" i="6" s="1"/>
  <c r="N26" i="6" s="1"/>
  <c r="M18" i="6" a="1"/>
  <c r="M18" i="6" s="1"/>
  <c r="L16" i="6" a="1"/>
  <c r="L16" i="6" s="1"/>
  <c r="N16" i="6" s="1"/>
  <c r="M8" i="6" a="1"/>
  <c r="M8" i="6" s="1"/>
  <c r="L6" i="6" a="1"/>
  <c r="L6" i="6" s="1"/>
  <c r="N6" i="6" s="1"/>
  <c r="L56" i="7" a="1"/>
  <c r="L56" i="7" s="1"/>
  <c r="N56" i="7" s="1"/>
  <c r="L47" i="7" a="1"/>
  <c r="L47" i="7" s="1"/>
  <c r="N47" i="7" s="1"/>
  <c r="M29" i="7" a="1"/>
  <c r="M29" i="7" s="1"/>
  <c r="M28" i="7" a="1"/>
  <c r="M28" i="7" s="1"/>
  <c r="M6" i="7" a="1"/>
  <c r="M6" i="7" s="1"/>
  <c r="M100" i="6" a="1"/>
  <c r="M100" i="6" s="1"/>
  <c r="M82" i="6" a="1"/>
  <c r="M82" i="6" s="1"/>
  <c r="L78" i="6" a="1"/>
  <c r="L78" i="6" s="1"/>
  <c r="N78" i="6" s="1"/>
  <c r="L67" i="6" a="1"/>
  <c r="L67" i="6" s="1"/>
  <c r="N67" i="6" s="1"/>
  <c r="M58" i="6" a="1"/>
  <c r="M58" i="6" s="1"/>
  <c r="M53" i="6" a="1"/>
  <c r="M53" i="6" s="1"/>
  <c r="M51" i="6" a="1"/>
  <c r="M51" i="6" s="1"/>
  <c r="L47" i="6" a="1"/>
  <c r="L47" i="6" s="1"/>
  <c r="N47" i="6" s="1"/>
  <c r="M39" i="6" a="1"/>
  <c r="M39" i="6" s="1"/>
  <c r="L37" i="6" a="1"/>
  <c r="L37" i="6" s="1"/>
  <c r="N37" i="6" s="1"/>
  <c r="M29" i="6" a="1"/>
  <c r="M29" i="6" s="1"/>
  <c r="L27" i="6" a="1"/>
  <c r="L27" i="6" s="1"/>
  <c r="N27" i="6" s="1"/>
  <c r="M19" i="6" a="1"/>
  <c r="M19" i="6" s="1"/>
  <c r="O19" i="6" s="1"/>
  <c r="L17" i="6" a="1"/>
  <c r="L17" i="6" s="1"/>
  <c r="N17" i="6" s="1"/>
  <c r="M9" i="6" a="1"/>
  <c r="M9" i="6" s="1"/>
  <c r="V9" i="6" s="1"/>
  <c r="L7" i="6" a="1"/>
  <c r="L7" i="6" s="1"/>
  <c r="N7" i="6" s="1"/>
  <c r="M34" i="7" a="1"/>
  <c r="M34" i="7" s="1"/>
  <c r="M11" i="7" a="1"/>
  <c r="M11" i="7" s="1"/>
  <c r="L7" i="7" a="1"/>
  <c r="L7" i="7" s="1"/>
  <c r="N7" i="7" s="1"/>
  <c r="L102" i="6" a="1"/>
  <c r="L102" i="6" s="1"/>
  <c r="N102" i="6" s="1"/>
  <c r="M99" i="6" a="1"/>
  <c r="M99" i="6" s="1"/>
  <c r="M90" i="6" a="1"/>
  <c r="M90" i="6" s="1"/>
  <c r="L87" i="6" a="1"/>
  <c r="L87" i="6" s="1"/>
  <c r="N87" i="6" s="1"/>
  <c r="M81" i="6" a="1"/>
  <c r="M81" i="6" s="1"/>
  <c r="M77" i="6" a="1"/>
  <c r="M77" i="6" s="1"/>
  <c r="L75" i="6" a="1"/>
  <c r="L75" i="6" s="1"/>
  <c r="N75" i="6" s="1"/>
  <c r="L69" i="6" a="1"/>
  <c r="L69" i="6" s="1"/>
  <c r="N69" i="6" s="1"/>
  <c r="L65" i="6" a="1"/>
  <c r="L65" i="6" s="1"/>
  <c r="N65" i="6" s="1"/>
  <c r="M63" i="6" a="1"/>
  <c r="M63" i="6" s="1"/>
  <c r="M60" i="6" a="1"/>
  <c r="M60" i="6" s="1"/>
  <c r="L48" i="6" a="1"/>
  <c r="L48" i="6" s="1"/>
  <c r="N48" i="6" s="1"/>
  <c r="M40" i="6" a="1"/>
  <c r="M40" i="6" s="1"/>
  <c r="L38" i="6" a="1"/>
  <c r="L38" i="6" s="1"/>
  <c r="N38" i="6" s="1"/>
  <c r="M30" i="6" a="1"/>
  <c r="M30" i="6" s="1"/>
  <c r="L28" i="6" a="1"/>
  <c r="L28" i="6" s="1"/>
  <c r="N28" i="6" s="1"/>
  <c r="M20" i="6" a="1"/>
  <c r="M20" i="6" s="1"/>
  <c r="L18" i="6" a="1"/>
  <c r="L18" i="6" s="1"/>
  <c r="N18" i="6" s="1"/>
  <c r="M10" i="6" a="1"/>
  <c r="M10" i="6" s="1"/>
  <c r="L8" i="6" a="1"/>
  <c r="L8" i="6" s="1"/>
  <c r="N8" i="6" s="1"/>
  <c r="L29" i="7" a="1"/>
  <c r="L29" i="7" s="1"/>
  <c r="N29" i="7" s="1"/>
  <c r="M16" i="7" a="1"/>
  <c r="M16" i="7" s="1"/>
  <c r="M10" i="7" a="1"/>
  <c r="M10" i="7" s="1"/>
  <c r="V10" i="7" s="1"/>
  <c r="L6" i="7" a="1"/>
  <c r="L6" i="7" s="1"/>
  <c r="N6" i="7" s="1"/>
  <c r="L96" i="6" a="1"/>
  <c r="L96" i="6" s="1"/>
  <c r="N96" i="6" s="1"/>
  <c r="M72" i="6" a="1"/>
  <c r="M72" i="6" s="1"/>
  <c r="L58" i="6" a="1"/>
  <c r="L58" i="6" s="1"/>
  <c r="N58" i="6" s="1"/>
  <c r="L56" i="6" a="1"/>
  <c r="L56" i="6" s="1"/>
  <c r="N56" i="6" s="1"/>
  <c r="L51" i="6" a="1"/>
  <c r="L51" i="6" s="1"/>
  <c r="N51" i="6" s="1"/>
  <c r="M49" i="6" a="1"/>
  <c r="M49" i="6" s="1"/>
  <c r="L102" i="7" a="1"/>
  <c r="L102" i="7" s="1"/>
  <c r="N102" i="7" s="1"/>
  <c r="M61" i="7" a="1"/>
  <c r="M61" i="7" s="1"/>
  <c r="M57" i="7" a="1"/>
  <c r="M57" i="7" s="1"/>
  <c r="M17" i="7" a="1"/>
  <c r="M17" i="7" s="1"/>
  <c r="L99" i="6" a="1"/>
  <c r="L99" i="6" s="1"/>
  <c r="N99" i="6" s="1"/>
  <c r="L90" i="6" a="1"/>
  <c r="L90" i="6" s="1"/>
  <c r="N90" i="6" s="1"/>
  <c r="M89" i="6" a="1"/>
  <c r="M89" i="6" s="1"/>
  <c r="L27" i="7" a="1"/>
  <c r="L27" i="7" s="1"/>
  <c r="N27" i="7" s="1"/>
  <c r="M92" i="6" a="1"/>
  <c r="M92" i="6" s="1"/>
  <c r="L88" i="6" a="1"/>
  <c r="L88" i="6" s="1"/>
  <c r="N88" i="6" s="1"/>
  <c r="M78" i="6" a="1"/>
  <c r="M78" i="6" s="1"/>
  <c r="M67" i="6" a="1"/>
  <c r="M67" i="6" s="1"/>
  <c r="O67" i="6" s="1"/>
  <c r="L50" i="6" a="1"/>
  <c r="L50" i="6" s="1"/>
  <c r="N50" i="6" s="1"/>
  <c r="M47" i="6" a="1"/>
  <c r="M47" i="6" s="1"/>
  <c r="L45" i="6" a="1"/>
  <c r="L45" i="6" s="1"/>
  <c r="N45" i="6" s="1"/>
  <c r="M37" i="6" a="1"/>
  <c r="M37" i="6" s="1"/>
  <c r="L35" i="6" a="1"/>
  <c r="L35" i="6" s="1"/>
  <c r="N35" i="6" s="1"/>
  <c r="M27" i="6" a="1"/>
  <c r="M27" i="6" s="1"/>
  <c r="L25" i="6" a="1"/>
  <c r="L25" i="6" s="1"/>
  <c r="N25" i="6" s="1"/>
  <c r="M17" i="6" a="1"/>
  <c r="M17" i="6" s="1"/>
  <c r="L15" i="6" a="1"/>
  <c r="L15" i="6" s="1"/>
  <c r="N15" i="6" s="1"/>
  <c r="M7" i="6" a="1"/>
  <c r="M7" i="6" s="1"/>
  <c r="V7" i="6" s="1"/>
  <c r="L5" i="6" a="1"/>
  <c r="L5" i="6" s="1"/>
  <c r="N5" i="6" s="1"/>
  <c r="G26" i="5"/>
  <c r="G56" i="5"/>
  <c r="I4" i="6"/>
  <c r="J4" i="6" s="1"/>
  <c r="I11" i="6"/>
  <c r="J11" i="6" s="1"/>
  <c r="L13" i="6" a="1"/>
  <c r="L13" i="6" s="1"/>
  <c r="N13" i="6" s="1"/>
  <c r="I18" i="6"/>
  <c r="J18" i="6" s="1"/>
  <c r="M22" i="6" a="1"/>
  <c r="M22" i="6" s="1"/>
  <c r="R31" i="6"/>
  <c r="I33" i="6"/>
  <c r="J33" i="6" s="1"/>
  <c r="L39" i="6" a="1"/>
  <c r="L39" i="6" s="1"/>
  <c r="N39" i="6" s="1"/>
  <c r="I40" i="6"/>
  <c r="J40" i="6" s="1"/>
  <c r="L42" i="6" a="1"/>
  <c r="L42" i="6" s="1"/>
  <c r="N42" i="6" s="1"/>
  <c r="L52" i="6" a="1"/>
  <c r="L52" i="6" s="1"/>
  <c r="N52" i="6" s="1"/>
  <c r="I53" i="6"/>
  <c r="J53" i="6" s="1"/>
  <c r="L59" i="6" a="1"/>
  <c r="L59" i="6" s="1"/>
  <c r="N59" i="6" s="1"/>
  <c r="R82" i="6"/>
  <c r="I85" i="6"/>
  <c r="J85" i="6" s="1"/>
  <c r="G92" i="6"/>
  <c r="R92" i="6"/>
  <c r="I7" i="7"/>
  <c r="J7" i="7" s="1"/>
  <c r="M19" i="7" a="1"/>
  <c r="M19" i="7" s="1"/>
  <c r="G45" i="7"/>
  <c r="R45" i="7"/>
  <c r="I21" i="6"/>
  <c r="J21" i="6" s="1"/>
  <c r="I43" i="6"/>
  <c r="J43" i="6" s="1"/>
  <c r="I51" i="6"/>
  <c r="J51" i="6" s="1"/>
  <c r="I72" i="6"/>
  <c r="J72" i="6" s="1"/>
  <c r="I90" i="6"/>
  <c r="J90" i="6" s="1"/>
  <c r="I99" i="6"/>
  <c r="J99" i="6" s="1"/>
  <c r="R101" i="6"/>
  <c r="G101" i="6"/>
  <c r="M9" i="7" a="1"/>
  <c r="M9" i="7" s="1"/>
  <c r="L16" i="7" a="1"/>
  <c r="L16" i="7" s="1"/>
  <c r="N16" i="7" s="1"/>
  <c r="L25" i="7" a="1"/>
  <c r="L25" i="7" s="1"/>
  <c r="N25" i="7" s="1"/>
  <c r="I43" i="7"/>
  <c r="J43" i="7" s="1"/>
  <c r="I24" i="6"/>
  <c r="J24" i="6" s="1"/>
  <c r="L33" i="6" a="1"/>
  <c r="L33" i="6" s="1"/>
  <c r="N33" i="6" s="1"/>
  <c r="M42" i="6" a="1"/>
  <c r="M42" i="6" s="1"/>
  <c r="L49" i="6" a="1"/>
  <c r="L49" i="6" s="1"/>
  <c r="N49" i="6" s="1"/>
  <c r="M50" i="6" a="1"/>
  <c r="M50" i="6" s="1"/>
  <c r="M52" i="6" a="1"/>
  <c r="M52" i="6" s="1"/>
  <c r="L57" i="6" a="1"/>
  <c r="L57" i="6" s="1"/>
  <c r="N57" i="6" s="1"/>
  <c r="M59" i="6" a="1"/>
  <c r="M59" i="6" s="1"/>
  <c r="I84" i="6"/>
  <c r="J84" i="6" s="1"/>
  <c r="L86" i="6" a="1"/>
  <c r="L86" i="6" s="1"/>
  <c r="N86" i="6" s="1"/>
  <c r="I92" i="6"/>
  <c r="J92" i="6" s="1"/>
  <c r="I11" i="7"/>
  <c r="J11" i="7" s="1"/>
  <c r="I34" i="6"/>
  <c r="J34" i="6" s="1"/>
  <c r="L43" i="6" a="1"/>
  <c r="L43" i="6" s="1"/>
  <c r="N43" i="6" s="1"/>
  <c r="G44" i="6"/>
  <c r="R46" i="6"/>
  <c r="I64" i="6"/>
  <c r="J64" i="6" s="1"/>
  <c r="I69" i="6"/>
  <c r="J69" i="6" s="1"/>
  <c r="L70" i="6" a="1"/>
  <c r="L70" i="6" s="1"/>
  <c r="N70" i="6" s="1"/>
  <c r="G78" i="6"/>
  <c r="R78" i="6"/>
  <c r="I80" i="6"/>
  <c r="J80" i="6" s="1"/>
  <c r="I83" i="6"/>
  <c r="J83" i="6" s="1"/>
  <c r="I89" i="6"/>
  <c r="J89" i="6" s="1"/>
  <c r="G6" i="7"/>
  <c r="R6" i="7"/>
  <c r="I18" i="7"/>
  <c r="J18" i="7" s="1"/>
  <c r="I39" i="7"/>
  <c r="J39" i="7" s="1"/>
  <c r="M43" i="7" a="1"/>
  <c r="M43" i="7" s="1"/>
  <c r="I47" i="7"/>
  <c r="J47" i="7" s="1"/>
  <c r="M3" i="6" a="1"/>
  <c r="M3" i="6" s="1"/>
  <c r="M54" i="6" a="1"/>
  <c r="M54" i="6" s="1"/>
  <c r="L11" i="6" a="1"/>
  <c r="L11" i="6" s="1"/>
  <c r="N11" i="6" s="1"/>
  <c r="L34" i="6" a="1"/>
  <c r="L34" i="6" s="1"/>
  <c r="N34" i="6" s="1"/>
  <c r="I61" i="7"/>
  <c r="J61" i="7" s="1"/>
  <c r="I22" i="6"/>
  <c r="J22" i="6" s="1"/>
  <c r="G42" i="6"/>
  <c r="R42" i="6"/>
  <c r="M43" i="6" a="1"/>
  <c r="M43" i="6" s="1"/>
  <c r="L44" i="6" a="1"/>
  <c r="L44" i="6" s="1"/>
  <c r="N44" i="6" s="1"/>
  <c r="G45" i="6"/>
  <c r="G46" i="6"/>
  <c r="K46" i="6" s="1"/>
  <c r="R61" i="6"/>
  <c r="G61" i="6"/>
  <c r="L68" i="6" a="1"/>
  <c r="L68" i="6" s="1"/>
  <c r="N68" i="6" s="1"/>
  <c r="M70" i="6" a="1"/>
  <c r="M70" i="6" s="1"/>
  <c r="M71" i="6" a="1"/>
  <c r="M71" i="6" s="1"/>
  <c r="O71" i="6" s="1"/>
  <c r="L89" i="6" a="1"/>
  <c r="L89" i="6" s="1"/>
  <c r="N89" i="6" s="1"/>
  <c r="G8" i="7"/>
  <c r="I21" i="7"/>
  <c r="J21" i="7" s="1"/>
  <c r="G24" i="7"/>
  <c r="M27" i="7" a="1"/>
  <c r="M27" i="7" s="1"/>
  <c r="L32" i="7" a="1"/>
  <c r="L32" i="7" s="1"/>
  <c r="N32" i="7" s="1"/>
  <c r="I36" i="7"/>
  <c r="J36" i="7" s="1"/>
  <c r="M51" i="7" a="1"/>
  <c r="M51" i="7" s="1"/>
  <c r="I53" i="7"/>
  <c r="J53" i="7" s="1"/>
  <c r="I72" i="7"/>
  <c r="J72" i="7" s="1"/>
  <c r="I12" i="6"/>
  <c r="J12" i="6" s="1"/>
  <c r="G32" i="6"/>
  <c r="R32" i="6"/>
  <c r="I44" i="6"/>
  <c r="J44" i="6" s="1"/>
  <c r="L80" i="6" a="1"/>
  <c r="L80" i="6" s="1"/>
  <c r="N80" i="6" s="1"/>
  <c r="R91" i="6"/>
  <c r="G91" i="6"/>
  <c r="G105" i="6"/>
  <c r="R105" i="6"/>
  <c r="L2" i="6" a="1"/>
  <c r="L2" i="6" s="1"/>
  <c r="G3" i="6"/>
  <c r="M6" i="6" a="1"/>
  <c r="M6" i="6" s="1"/>
  <c r="M11" i="6" a="1"/>
  <c r="M11" i="6" s="1"/>
  <c r="M15" i="6" a="1"/>
  <c r="M15" i="6" s="1"/>
  <c r="L31" i="6" a="1"/>
  <c r="L31" i="6" s="1"/>
  <c r="N31" i="6" s="1"/>
  <c r="I32" i="6"/>
  <c r="J32" i="6" s="1"/>
  <c r="M34" i="6" a="1"/>
  <c r="M34" i="6" s="1"/>
  <c r="I45" i="6"/>
  <c r="J45" i="6" s="1"/>
  <c r="R54" i="6"/>
  <c r="G54" i="6"/>
  <c r="I62" i="6"/>
  <c r="J62" i="6" s="1"/>
  <c r="M79" i="6" a="1"/>
  <c r="M79" i="6" s="1"/>
  <c r="M80" i="6" a="1"/>
  <c r="M80" i="6" s="1"/>
  <c r="I91" i="6"/>
  <c r="J91" i="6" s="1"/>
  <c r="M97" i="6" a="1"/>
  <c r="M97" i="6" s="1"/>
  <c r="M98" i="6" a="1"/>
  <c r="M98" i="6" s="1"/>
  <c r="R100" i="6"/>
  <c r="G100" i="6"/>
  <c r="I103" i="6"/>
  <c r="J103" i="6" s="1"/>
  <c r="I17" i="7"/>
  <c r="J17" i="7" s="1"/>
  <c r="L20" i="7" a="1"/>
  <c r="L20" i="7" s="1"/>
  <c r="N20" i="7" s="1"/>
  <c r="M21" i="7" a="1"/>
  <c r="M21" i="7" s="1"/>
  <c r="G68" i="7"/>
  <c r="R68" i="7"/>
  <c r="I14" i="6"/>
  <c r="J14" i="6" s="1"/>
  <c r="M4" i="6" a="1"/>
  <c r="M4" i="6" s="1"/>
  <c r="G16" i="6"/>
  <c r="K16" i="6" s="1"/>
  <c r="G22" i="6"/>
  <c r="R22" i="6"/>
  <c r="G25" i="6"/>
  <c r="M14" i="6" a="1"/>
  <c r="M14" i="6" s="1"/>
  <c r="L21" i="6" a="1"/>
  <c r="L21" i="6" s="1"/>
  <c r="N21" i="6" s="1"/>
  <c r="M24" i="6" a="1"/>
  <c r="M24" i="6" s="1"/>
  <c r="G6" i="5"/>
  <c r="G36" i="5"/>
  <c r="I3" i="6"/>
  <c r="J3" i="6" s="1"/>
  <c r="L9" i="6" a="1"/>
  <c r="L9" i="6" s="1"/>
  <c r="N9" i="6" s="1"/>
  <c r="I10" i="6"/>
  <c r="J10" i="6" s="1"/>
  <c r="L12" i="6" a="1"/>
  <c r="L12" i="6" s="1"/>
  <c r="N12" i="6" s="1"/>
  <c r="G13" i="6"/>
  <c r="M16" i="6" a="1"/>
  <c r="M16" i="6" s="1"/>
  <c r="V16" i="6" s="1"/>
  <c r="M21" i="6" a="1"/>
  <c r="M21" i="6" s="1"/>
  <c r="M25" i="6" a="1"/>
  <c r="M25" i="6" s="1"/>
  <c r="L41" i="6" a="1"/>
  <c r="L41" i="6" s="1"/>
  <c r="N41" i="6" s="1"/>
  <c r="I42" i="6"/>
  <c r="J42" i="6" s="1"/>
  <c r="M44" i="6" a="1"/>
  <c r="M44" i="6" s="1"/>
  <c r="R52" i="6"/>
  <c r="G52" i="6"/>
  <c r="R59" i="6"/>
  <c r="G59" i="6"/>
  <c r="I61" i="6"/>
  <c r="J61" i="6" s="1"/>
  <c r="L66" i="6" a="1"/>
  <c r="L66" i="6" s="1"/>
  <c r="N66" i="6" s="1"/>
  <c r="R67" i="6"/>
  <c r="M68" i="6" a="1"/>
  <c r="M68" i="6" s="1"/>
  <c r="I82" i="6"/>
  <c r="J82" i="6" s="1"/>
  <c r="M88" i="6" a="1"/>
  <c r="M88" i="6" s="1"/>
  <c r="I96" i="6"/>
  <c r="J96" i="6" s="1"/>
  <c r="M26" i="7" a="1"/>
  <c r="M26" i="7" s="1"/>
  <c r="L98" i="6" a="1"/>
  <c r="L98" i="6" s="1"/>
  <c r="N98" i="6" s="1"/>
  <c r="M5" i="6" a="1"/>
  <c r="M5" i="6" s="1"/>
  <c r="O5" i="6" s="1"/>
  <c r="I99" i="7"/>
  <c r="J99" i="7" s="1"/>
  <c r="I101" i="7"/>
  <c r="J101" i="7" s="1"/>
  <c r="I77" i="7"/>
  <c r="J77" i="7" s="1"/>
  <c r="I74" i="7"/>
  <c r="J74" i="7" s="1"/>
  <c r="I67" i="7"/>
  <c r="J67" i="7" s="1"/>
  <c r="I64" i="7"/>
  <c r="J64" i="7" s="1"/>
  <c r="I57" i="7"/>
  <c r="J57" i="7" s="1"/>
  <c r="I54" i="7"/>
  <c r="J54" i="7" s="1"/>
  <c r="I50" i="7"/>
  <c r="J50" i="7" s="1"/>
  <c r="I40" i="7"/>
  <c r="J40" i="7" s="1"/>
  <c r="I85" i="7"/>
  <c r="J85" i="7" s="1"/>
  <c r="I98" i="7"/>
  <c r="J98" i="7" s="1"/>
  <c r="I83" i="7"/>
  <c r="J83" i="7" s="1"/>
  <c r="I79" i="7"/>
  <c r="J79" i="7" s="1"/>
  <c r="I69" i="7"/>
  <c r="J69" i="7" s="1"/>
  <c r="I59" i="7"/>
  <c r="J59" i="7" s="1"/>
  <c r="I49" i="7"/>
  <c r="J49" i="7" s="1"/>
  <c r="I45" i="7"/>
  <c r="J45" i="7" s="1"/>
  <c r="I55" i="7"/>
  <c r="J55" i="7" s="1"/>
  <c r="I28" i="7"/>
  <c r="J28" i="7" s="1"/>
  <c r="I75" i="7"/>
  <c r="J75" i="7" s="1"/>
  <c r="I63" i="7"/>
  <c r="J63" i="7" s="1"/>
  <c r="I65" i="7"/>
  <c r="J65" i="7" s="1"/>
  <c r="I95" i="7"/>
  <c r="J95" i="7" s="1"/>
  <c r="I16" i="7"/>
  <c r="J16" i="7" s="1"/>
  <c r="I8" i="7"/>
  <c r="J8" i="7" s="1"/>
  <c r="I23" i="7"/>
  <c r="J23" i="7" s="1"/>
  <c r="I15" i="7"/>
  <c r="J15" i="7" s="1"/>
  <c r="I6" i="7"/>
  <c r="J6" i="7" s="1"/>
  <c r="I35" i="7"/>
  <c r="J35" i="7" s="1"/>
  <c r="I26" i="7"/>
  <c r="J26" i="7" s="1"/>
  <c r="I98" i="6"/>
  <c r="J98" i="6" s="1"/>
  <c r="I88" i="6"/>
  <c r="J88" i="6" s="1"/>
  <c r="I78" i="6"/>
  <c r="J78" i="6" s="1"/>
  <c r="I68" i="6"/>
  <c r="J68" i="6" s="1"/>
  <c r="I58" i="6"/>
  <c r="J58" i="6" s="1"/>
  <c r="I89" i="7"/>
  <c r="J89" i="7" s="1"/>
  <c r="I25" i="7"/>
  <c r="J25" i="7" s="1"/>
  <c r="I71" i="7"/>
  <c r="J71" i="7" s="1"/>
  <c r="I33" i="7"/>
  <c r="J33" i="7" s="1"/>
  <c r="I32" i="7"/>
  <c r="J32" i="7" s="1"/>
  <c r="I4" i="7"/>
  <c r="J4" i="7" s="1"/>
  <c r="I105" i="6"/>
  <c r="J105" i="6" s="1"/>
  <c r="I97" i="6"/>
  <c r="J97" i="6" s="1"/>
  <c r="I87" i="6"/>
  <c r="J87" i="6" s="1"/>
  <c r="I77" i="6"/>
  <c r="J77" i="6" s="1"/>
  <c r="I74" i="6"/>
  <c r="J74" i="6" s="1"/>
  <c r="I66" i="6"/>
  <c r="J66" i="6" s="1"/>
  <c r="I54" i="6"/>
  <c r="J54" i="6" s="1"/>
  <c r="I76" i="6"/>
  <c r="J76" i="6" s="1"/>
  <c r="I57" i="6"/>
  <c r="J57" i="6" s="1"/>
  <c r="I14" i="7"/>
  <c r="J14" i="7" s="1"/>
  <c r="I5" i="7"/>
  <c r="J5" i="7" s="1"/>
  <c r="I22" i="7"/>
  <c r="J22" i="7" s="1"/>
  <c r="I93" i="6"/>
  <c r="J93" i="6" s="1"/>
  <c r="I86" i="6"/>
  <c r="J86" i="6" s="1"/>
  <c r="I41" i="6"/>
  <c r="J41" i="6" s="1"/>
  <c r="I31" i="6"/>
  <c r="J31" i="6" s="1"/>
  <c r="M2" i="6" a="1"/>
  <c r="M2" i="6" s="1"/>
  <c r="R11" i="6"/>
  <c r="I13" i="6"/>
  <c r="J13" i="6" s="1"/>
  <c r="L19" i="6" a="1"/>
  <c r="L19" i="6" s="1"/>
  <c r="I20" i="6"/>
  <c r="J20" i="6" s="1"/>
  <c r="L22" i="6" a="1"/>
  <c r="L22" i="6" s="1"/>
  <c r="N22" i="6" s="1"/>
  <c r="G23" i="6"/>
  <c r="M26" i="6" a="1"/>
  <c r="M26" i="6" s="1"/>
  <c r="I27" i="6"/>
  <c r="J27" i="6" s="1"/>
  <c r="M31" i="6" a="1"/>
  <c r="M31" i="6" s="1"/>
  <c r="M35" i="6" a="1"/>
  <c r="M35" i="6" s="1"/>
  <c r="M45" i="6" a="1"/>
  <c r="M45" i="6" s="1"/>
  <c r="M46" i="6" a="1"/>
  <c r="M46" i="6" s="1"/>
  <c r="I48" i="6"/>
  <c r="J48" i="6" s="1"/>
  <c r="R50" i="6"/>
  <c r="G50" i="6"/>
  <c r="G57" i="6"/>
  <c r="R57" i="6"/>
  <c r="M61" i="6" a="1"/>
  <c r="M61" i="6" s="1"/>
  <c r="I73" i="6"/>
  <c r="J73" i="6" s="1"/>
  <c r="R81" i="6"/>
  <c r="I95" i="6"/>
  <c r="J95" i="6" s="1"/>
  <c r="R97" i="6"/>
  <c r="R102" i="6"/>
  <c r="G102" i="6"/>
  <c r="I3" i="7"/>
  <c r="J3" i="7" s="1"/>
  <c r="R9" i="7"/>
  <c r="G9" i="7"/>
  <c r="I12" i="7"/>
  <c r="J12" i="7" s="1"/>
  <c r="M20" i="7" a="1"/>
  <c r="M20" i="7" s="1"/>
  <c r="I68" i="7"/>
  <c r="J68" i="7" s="1"/>
  <c r="I49" i="6"/>
  <c r="J49" i="6" s="1"/>
  <c r="R49" i="6"/>
  <c r="R51" i="6"/>
  <c r="G58" i="6"/>
  <c r="G39" i="7"/>
  <c r="R39" i="7"/>
  <c r="R41" i="7"/>
  <c r="G41" i="7"/>
  <c r="R77" i="7"/>
  <c r="G77" i="7"/>
  <c r="R104" i="7"/>
  <c r="G104" i="7"/>
  <c r="R70" i="7"/>
  <c r="G70" i="7"/>
  <c r="G100" i="7"/>
  <c r="R100" i="7"/>
  <c r="I102" i="7"/>
  <c r="J102" i="7" s="1"/>
  <c r="I104" i="7"/>
  <c r="J104" i="7" s="1"/>
  <c r="G88" i="6"/>
  <c r="R88" i="6"/>
  <c r="I13" i="7"/>
  <c r="J13" i="7" s="1"/>
  <c r="I24" i="7"/>
  <c r="J24" i="7" s="1"/>
  <c r="G50" i="7"/>
  <c r="R50" i="7"/>
  <c r="I100" i="6"/>
  <c r="J100" i="6" s="1"/>
  <c r="I101" i="6"/>
  <c r="J101" i="6" s="1"/>
  <c r="I104" i="6"/>
  <c r="J104" i="6" s="1"/>
  <c r="R23" i="7"/>
  <c r="G23" i="7"/>
  <c r="R42" i="7"/>
  <c r="G42" i="7"/>
  <c r="I86" i="7"/>
  <c r="J86" i="7" s="1"/>
  <c r="I94" i="7"/>
  <c r="J94" i="7" s="1"/>
  <c r="I50" i="6"/>
  <c r="J50" i="6" s="1"/>
  <c r="R68" i="6"/>
  <c r="G98" i="6"/>
  <c r="R98" i="6"/>
  <c r="I59" i="6"/>
  <c r="J59" i="6" s="1"/>
  <c r="G70" i="6"/>
  <c r="G79" i="6"/>
  <c r="I88" i="7"/>
  <c r="J88" i="7" s="1"/>
  <c r="G62" i="6"/>
  <c r="I70" i="6"/>
  <c r="J70" i="6" s="1"/>
  <c r="R77" i="6"/>
  <c r="I79" i="6"/>
  <c r="J79" i="6" s="1"/>
  <c r="I46" i="7"/>
  <c r="J46" i="7" s="1"/>
  <c r="R103" i="6"/>
  <c r="I29" i="7"/>
  <c r="J29" i="7" s="1"/>
  <c r="G40" i="7"/>
  <c r="I84" i="7"/>
  <c r="J84" i="7" s="1"/>
  <c r="G54" i="7"/>
  <c r="R54" i="7"/>
  <c r="R20" i="7"/>
  <c r="G20" i="7"/>
  <c r="G31" i="7"/>
  <c r="R34" i="7"/>
  <c r="G34" i="7"/>
  <c r="G49" i="7"/>
  <c r="R49" i="7"/>
  <c r="I58" i="7"/>
  <c r="J58" i="7" s="1"/>
  <c r="I60" i="7"/>
  <c r="J60" i="7" s="1"/>
  <c r="I9" i="7"/>
  <c r="J9" i="7" s="1"/>
  <c r="G16" i="7"/>
  <c r="G17" i="7"/>
  <c r="R30" i="7"/>
  <c r="I38" i="7"/>
  <c r="J38" i="7" s="1"/>
  <c r="I102" i="6"/>
  <c r="J102" i="6" s="1"/>
  <c r="G7" i="7"/>
  <c r="R7" i="7"/>
  <c r="I20" i="7"/>
  <c r="J20" i="7" s="1"/>
  <c r="I44" i="7"/>
  <c r="J44" i="7" s="1"/>
  <c r="R59" i="7"/>
  <c r="G59" i="7"/>
  <c r="I78" i="7"/>
  <c r="J78" i="7" s="1"/>
  <c r="G80" i="7"/>
  <c r="R80" i="7"/>
  <c r="R93" i="7"/>
  <c r="G93" i="7"/>
  <c r="C6" i="8"/>
  <c r="C7" i="8" s="1"/>
  <c r="C6" i="9"/>
  <c r="C7" i="9" s="1"/>
  <c r="I19" i="7"/>
  <c r="J19" i="7" s="1"/>
  <c r="I27" i="7"/>
  <c r="J27" i="7" s="1"/>
  <c r="G29" i="7"/>
  <c r="G78" i="7"/>
  <c r="R94" i="7"/>
  <c r="G94" i="7"/>
  <c r="I41" i="7"/>
  <c r="J41" i="7" s="1"/>
  <c r="R67" i="7"/>
  <c r="G67" i="7"/>
  <c r="I37" i="7"/>
  <c r="J37" i="7" s="1"/>
  <c r="I51" i="7"/>
  <c r="J51" i="7" s="1"/>
  <c r="I66" i="7"/>
  <c r="J66" i="7" s="1"/>
  <c r="I70" i="7"/>
  <c r="J70" i="7" s="1"/>
  <c r="I73" i="7"/>
  <c r="J73" i="7" s="1"/>
  <c r="I76" i="7"/>
  <c r="J76" i="7" s="1"/>
  <c r="I31" i="7"/>
  <c r="J31" i="7" s="1"/>
  <c r="I52" i="7"/>
  <c r="J52" i="7" s="1"/>
  <c r="R87" i="7"/>
  <c r="G89" i="7"/>
  <c r="R89" i="7"/>
  <c r="R27" i="7"/>
  <c r="I34" i="7"/>
  <c r="J34" i="7" s="1"/>
  <c r="I97" i="7"/>
  <c r="J97" i="7" s="1"/>
  <c r="R57" i="7"/>
  <c r="G57" i="7"/>
  <c r="G58" i="7"/>
  <c r="I87" i="7"/>
  <c r="J87" i="7" s="1"/>
  <c r="I96" i="7"/>
  <c r="J96" i="7" s="1"/>
  <c r="I82" i="7"/>
  <c r="J82" i="7" s="1"/>
  <c r="I42" i="7"/>
  <c r="J42" i="7" s="1"/>
  <c r="R58" i="7"/>
  <c r="G64" i="7"/>
  <c r="R64" i="7"/>
  <c r="I80" i="7"/>
  <c r="J80" i="7" s="1"/>
  <c r="I92" i="7"/>
  <c r="J92" i="7" s="1"/>
  <c r="I93" i="7"/>
  <c r="J93" i="7" s="1"/>
  <c r="G101" i="7"/>
  <c r="R101" i="7"/>
  <c r="R32" i="7"/>
  <c r="R43" i="7"/>
  <c r="I56" i="7"/>
  <c r="J56" i="7" s="1"/>
  <c r="I62" i="7"/>
  <c r="J62" i="7" s="1"/>
  <c r="G95" i="7"/>
  <c r="I81" i="7"/>
  <c r="J81" i="7" s="1"/>
  <c r="G84" i="7"/>
  <c r="I90" i="7"/>
  <c r="J90" i="7" s="1"/>
  <c r="G91" i="7"/>
  <c r="R91" i="7"/>
  <c r="I100" i="7"/>
  <c r="J100" i="7" s="1"/>
  <c r="R61" i="7"/>
  <c r="G69" i="7"/>
  <c r="R71" i="7"/>
  <c r="R74" i="7"/>
  <c r="G79" i="7"/>
  <c r="G83" i="7"/>
  <c r="I91" i="7"/>
  <c r="J91" i="7" s="1"/>
  <c r="I105" i="7"/>
  <c r="J105" i="7" s="1"/>
  <c r="G81" i="7"/>
  <c r="R88" i="7"/>
  <c r="I103" i="7"/>
  <c r="J103" i="7" s="1"/>
  <c r="G105" i="7"/>
  <c r="G103" i="7"/>
  <c r="O2" i="7" l="1"/>
  <c r="O17" i="6"/>
  <c r="O6" i="6"/>
  <c r="U2" i="7"/>
  <c r="K25" i="6"/>
  <c r="O36" i="6"/>
  <c r="P36" i="6" s="1"/>
  <c r="U81" i="6"/>
  <c r="O81" i="6"/>
  <c r="O65" i="6"/>
  <c r="P65" i="6" s="1"/>
  <c r="U9" i="6"/>
  <c r="V81" i="6"/>
  <c r="O26" i="6"/>
  <c r="O35" i="6"/>
  <c r="P67" i="6"/>
  <c r="O75" i="6"/>
  <c r="P75" i="6" s="1"/>
  <c r="W29" i="6"/>
  <c r="O28" i="6"/>
  <c r="O63" i="6"/>
  <c r="O39" i="6"/>
  <c r="O38" i="6"/>
  <c r="U44" i="6"/>
  <c r="K44" i="6"/>
  <c r="V44" i="6"/>
  <c r="U94" i="7"/>
  <c r="K94" i="7"/>
  <c r="V94" i="7"/>
  <c r="V98" i="6"/>
  <c r="U98" i="6"/>
  <c r="K98" i="6"/>
  <c r="U62" i="7"/>
  <c r="K62" i="7"/>
  <c r="V62" i="7"/>
  <c r="U86" i="7"/>
  <c r="V86" i="7"/>
  <c r="K86" i="7"/>
  <c r="U13" i="6"/>
  <c r="W13" i="6" s="1"/>
  <c r="K13" i="6"/>
  <c r="O13" i="6" s="1"/>
  <c r="P13" i="6" s="1"/>
  <c r="V13" i="6"/>
  <c r="V99" i="7"/>
  <c r="K99" i="7"/>
  <c r="U99" i="7"/>
  <c r="O15" i="6"/>
  <c r="V15" i="6"/>
  <c r="K97" i="7"/>
  <c r="V97" i="7"/>
  <c r="U97" i="7"/>
  <c r="W97" i="7" s="1"/>
  <c r="U70" i="6"/>
  <c r="W70" i="6" s="1"/>
  <c r="K70" i="6"/>
  <c r="O70" i="6" s="1"/>
  <c r="P70" i="6" s="1"/>
  <c r="V70" i="6"/>
  <c r="N19" i="6"/>
  <c r="P19" i="6" s="1"/>
  <c r="U19" i="6"/>
  <c r="W19" i="6" s="1"/>
  <c r="U101" i="7"/>
  <c r="K101" i="7"/>
  <c r="V101" i="7"/>
  <c r="V34" i="7"/>
  <c r="K34" i="7"/>
  <c r="U34" i="7"/>
  <c r="W34" i="7" s="1"/>
  <c r="K75" i="7"/>
  <c r="O75" i="7" s="1"/>
  <c r="P75" i="7" s="1"/>
  <c r="V75" i="7"/>
  <c r="U75" i="7"/>
  <c r="V91" i="6"/>
  <c r="U91" i="6"/>
  <c r="W91" i="6" s="1"/>
  <c r="K91" i="6"/>
  <c r="O91" i="6" s="1"/>
  <c r="P91" i="6" s="1"/>
  <c r="V70" i="7"/>
  <c r="K70" i="7"/>
  <c r="U70" i="7"/>
  <c r="V14" i="7"/>
  <c r="U14" i="7"/>
  <c r="W14" i="7" s="1"/>
  <c r="K14" i="7"/>
  <c r="V4" i="7"/>
  <c r="U4" i="7"/>
  <c r="K4" i="7"/>
  <c r="V63" i="7"/>
  <c r="K63" i="7"/>
  <c r="U63" i="7"/>
  <c r="K66" i="7"/>
  <c r="O66" i="7" s="1"/>
  <c r="P66" i="7" s="1"/>
  <c r="V66" i="7"/>
  <c r="U66" i="7"/>
  <c r="W66" i="7" s="1"/>
  <c r="U9" i="7"/>
  <c r="K9" i="7"/>
  <c r="V9" i="7"/>
  <c r="K24" i="7"/>
  <c r="V24" i="7"/>
  <c r="U24" i="7"/>
  <c r="O46" i="6"/>
  <c r="V46" i="6"/>
  <c r="K26" i="7"/>
  <c r="V26" i="7"/>
  <c r="U26" i="7"/>
  <c r="V48" i="6"/>
  <c r="K48" i="6"/>
  <c r="U48" i="6"/>
  <c r="U98" i="7"/>
  <c r="K98" i="7"/>
  <c r="V98" i="7"/>
  <c r="O25" i="6"/>
  <c r="P25" i="6" s="1"/>
  <c r="V25" i="6"/>
  <c r="U21" i="7"/>
  <c r="K21" i="7"/>
  <c r="V21" i="7"/>
  <c r="U27" i="7"/>
  <c r="V27" i="7"/>
  <c r="K27" i="7"/>
  <c r="V57" i="6"/>
  <c r="U57" i="6"/>
  <c r="K57" i="6"/>
  <c r="U32" i="7"/>
  <c r="V32" i="7"/>
  <c r="K32" i="7"/>
  <c r="O32" i="7" s="1"/>
  <c r="P32" i="7" s="1"/>
  <c r="K85" i="7"/>
  <c r="O85" i="7" s="1"/>
  <c r="P85" i="7" s="1"/>
  <c r="V85" i="7"/>
  <c r="U85" i="7"/>
  <c r="W85" i="7" s="1"/>
  <c r="V92" i="6"/>
  <c r="U92" i="6"/>
  <c r="K92" i="6"/>
  <c r="U24" i="6"/>
  <c r="W24" i="6" s="1"/>
  <c r="K24" i="6"/>
  <c r="V24" i="6"/>
  <c r="U90" i="6"/>
  <c r="K90" i="6"/>
  <c r="V90" i="6"/>
  <c r="P15" i="6"/>
  <c r="C22" i="9"/>
  <c r="V56" i="6"/>
  <c r="U56" i="6"/>
  <c r="K56" i="6"/>
  <c r="O56" i="6" s="1"/>
  <c r="P56" i="6" s="1"/>
  <c r="U46" i="6"/>
  <c r="U28" i="6"/>
  <c r="V6" i="6"/>
  <c r="V72" i="6"/>
  <c r="U72" i="6"/>
  <c r="K72" i="6"/>
  <c r="O99" i="7"/>
  <c r="P99" i="7" s="1"/>
  <c r="U48" i="7"/>
  <c r="K48" i="7"/>
  <c r="O48" i="7" s="1"/>
  <c r="P48" i="7" s="1"/>
  <c r="V48" i="7"/>
  <c r="K55" i="6"/>
  <c r="O55" i="6" s="1"/>
  <c r="P55" i="6" s="1"/>
  <c r="V55" i="6"/>
  <c r="U55" i="6"/>
  <c r="W9" i="6"/>
  <c r="V28" i="6"/>
  <c r="W16" i="6"/>
  <c r="W81" i="6"/>
  <c r="O24" i="6"/>
  <c r="P24" i="6" s="1"/>
  <c r="U88" i="7"/>
  <c r="K88" i="7"/>
  <c r="O88" i="7" s="1"/>
  <c r="P88" i="7" s="1"/>
  <c r="V88" i="7"/>
  <c r="V30" i="7"/>
  <c r="U30" i="7"/>
  <c r="K30" i="7"/>
  <c r="O30" i="7" s="1"/>
  <c r="P30" i="7" s="1"/>
  <c r="V52" i="6"/>
  <c r="U52" i="6"/>
  <c r="K52" i="6"/>
  <c r="O52" i="6" s="1"/>
  <c r="P52" i="6" s="1"/>
  <c r="V8" i="6"/>
  <c r="K8" i="6"/>
  <c r="U8" i="6"/>
  <c r="U47" i="6"/>
  <c r="W47" i="6" s="1"/>
  <c r="V43" i="7"/>
  <c r="U43" i="7"/>
  <c r="K43" i="7"/>
  <c r="O43" i="7"/>
  <c r="U68" i="7"/>
  <c r="K68" i="7"/>
  <c r="V68" i="7"/>
  <c r="K6" i="7"/>
  <c r="O6" i="7" s="1"/>
  <c r="P6" i="7" s="1"/>
  <c r="V6" i="7"/>
  <c r="U6" i="7"/>
  <c r="K12" i="6"/>
  <c r="O12" i="6" s="1"/>
  <c r="P12" i="6" s="1"/>
  <c r="U12" i="6"/>
  <c r="V12" i="6"/>
  <c r="U7" i="6"/>
  <c r="W7" i="6" s="1"/>
  <c r="K40" i="7"/>
  <c r="O40" i="7" s="1"/>
  <c r="P40" i="7" s="1"/>
  <c r="V40" i="7"/>
  <c r="U40" i="7"/>
  <c r="U51" i="6"/>
  <c r="K51" i="6"/>
  <c r="V51" i="6"/>
  <c r="V61" i="6"/>
  <c r="U61" i="6"/>
  <c r="K61" i="6"/>
  <c r="O61" i="6" s="1"/>
  <c r="P61" i="6" s="1"/>
  <c r="N2" i="6"/>
  <c r="U2" i="6"/>
  <c r="K94" i="6"/>
  <c r="V94" i="6"/>
  <c r="U94" i="6"/>
  <c r="W94" i="6" s="1"/>
  <c r="V37" i="6"/>
  <c r="K37" i="6"/>
  <c r="O37" i="6" s="1"/>
  <c r="P37" i="6" s="1"/>
  <c r="U37" i="6"/>
  <c r="V26" i="6"/>
  <c r="W26" i="6" s="1"/>
  <c r="V65" i="6"/>
  <c r="U35" i="6"/>
  <c r="U67" i="6"/>
  <c r="W67" i="6" s="1"/>
  <c r="V56" i="7"/>
  <c r="U56" i="7"/>
  <c r="K56" i="7"/>
  <c r="O56" i="7" s="1"/>
  <c r="P56" i="7" s="1"/>
  <c r="V44" i="7"/>
  <c r="U44" i="7"/>
  <c r="K44" i="7"/>
  <c r="O44" i="7" s="1"/>
  <c r="P44" i="7" s="1"/>
  <c r="K95" i="6"/>
  <c r="V95" i="6"/>
  <c r="U95" i="6"/>
  <c r="U35" i="7"/>
  <c r="V35" i="7"/>
  <c r="K35" i="7"/>
  <c r="C23" i="9"/>
  <c r="V84" i="7"/>
  <c r="K84" i="7"/>
  <c r="O84" i="7" s="1"/>
  <c r="P84" i="7" s="1"/>
  <c r="U84" i="7"/>
  <c r="K55" i="7"/>
  <c r="O55" i="7" s="1"/>
  <c r="P55" i="7" s="1"/>
  <c r="V55" i="7"/>
  <c r="U55" i="7"/>
  <c r="V62" i="6"/>
  <c r="U62" i="6"/>
  <c r="K62" i="6"/>
  <c r="U43" i="6"/>
  <c r="K43" i="6"/>
  <c r="O43" i="6" s="1"/>
  <c r="P43" i="6" s="1"/>
  <c r="V43" i="6"/>
  <c r="C19" i="8"/>
  <c r="U25" i="7"/>
  <c r="K25" i="7"/>
  <c r="O25" i="7" s="1"/>
  <c r="P25" i="7" s="1"/>
  <c r="V25" i="7"/>
  <c r="U18" i="7"/>
  <c r="V18" i="7"/>
  <c r="K18" i="7"/>
  <c r="V53" i="6"/>
  <c r="K53" i="6"/>
  <c r="O53" i="6" s="1"/>
  <c r="P53" i="6" s="1"/>
  <c r="U53" i="6"/>
  <c r="K11" i="6"/>
  <c r="V11" i="6"/>
  <c r="U11" i="6"/>
  <c r="O4" i="7"/>
  <c r="P4" i="7" s="1"/>
  <c r="O94" i="7"/>
  <c r="P94" i="7" s="1"/>
  <c r="O98" i="7"/>
  <c r="P98" i="7" s="1"/>
  <c r="V96" i="7"/>
  <c r="K96" i="7"/>
  <c r="U96" i="7"/>
  <c r="U29" i="7"/>
  <c r="K29" i="7"/>
  <c r="O29" i="7" s="1"/>
  <c r="P29" i="7" s="1"/>
  <c r="V29" i="7"/>
  <c r="K59" i="6"/>
  <c r="V59" i="6"/>
  <c r="U59" i="6"/>
  <c r="U104" i="7"/>
  <c r="K104" i="7"/>
  <c r="O104" i="7" s="1"/>
  <c r="P104" i="7" s="1"/>
  <c r="V104" i="7"/>
  <c r="V12" i="7"/>
  <c r="K12" i="7"/>
  <c r="O12" i="7" s="1"/>
  <c r="P12" i="7" s="1"/>
  <c r="U12" i="7"/>
  <c r="V27" i="6"/>
  <c r="U27" i="6"/>
  <c r="K27" i="6"/>
  <c r="O27" i="6" s="1"/>
  <c r="P27" i="6" s="1"/>
  <c r="K41" i="6"/>
  <c r="O41" i="6" s="1"/>
  <c r="P41" i="6" s="1"/>
  <c r="V41" i="6"/>
  <c r="U41" i="6"/>
  <c r="V74" i="6"/>
  <c r="U74" i="6"/>
  <c r="K74" i="6"/>
  <c r="V89" i="7"/>
  <c r="K89" i="7"/>
  <c r="U89" i="7"/>
  <c r="W89" i="7" s="1"/>
  <c r="U23" i="7"/>
  <c r="K23" i="7"/>
  <c r="O23" i="7" s="1"/>
  <c r="P23" i="7" s="1"/>
  <c r="V23" i="7"/>
  <c r="K49" i="7"/>
  <c r="O49" i="7" s="1"/>
  <c r="P49" i="7" s="1"/>
  <c r="V49" i="7"/>
  <c r="U49" i="7"/>
  <c r="V57" i="7"/>
  <c r="U57" i="7"/>
  <c r="K57" i="7"/>
  <c r="V103" i="6"/>
  <c r="U103" i="6"/>
  <c r="K103" i="6"/>
  <c r="O103" i="6" s="1"/>
  <c r="P103" i="6" s="1"/>
  <c r="V53" i="7"/>
  <c r="K53" i="7"/>
  <c r="O53" i="7" s="1"/>
  <c r="P53" i="7" s="1"/>
  <c r="U53" i="7"/>
  <c r="U22" i="6"/>
  <c r="K22" i="6"/>
  <c r="O22" i="6" s="1"/>
  <c r="P22" i="6" s="1"/>
  <c r="V22" i="6"/>
  <c r="U4" i="6"/>
  <c r="W4" i="6" s="1"/>
  <c r="K4" i="6"/>
  <c r="O4" i="6" s="1"/>
  <c r="P4" i="6" s="1"/>
  <c r="V4" i="6"/>
  <c r="O72" i="6"/>
  <c r="P28" i="6"/>
  <c r="O9" i="6"/>
  <c r="P9" i="6" s="1"/>
  <c r="P6" i="6"/>
  <c r="P63" i="6"/>
  <c r="U10" i="7"/>
  <c r="W10" i="7" s="1"/>
  <c r="V35" i="6"/>
  <c r="K47" i="7"/>
  <c r="O47" i="7" s="1"/>
  <c r="P47" i="7" s="1"/>
  <c r="V47" i="7"/>
  <c r="U47" i="7"/>
  <c r="K85" i="6"/>
  <c r="O85" i="6" s="1"/>
  <c r="P85" i="6" s="1"/>
  <c r="V85" i="6"/>
  <c r="U85" i="6"/>
  <c r="K37" i="7"/>
  <c r="O37" i="7" s="1"/>
  <c r="P37" i="7" s="1"/>
  <c r="V37" i="7"/>
  <c r="U37" i="7"/>
  <c r="V73" i="6"/>
  <c r="K73" i="6"/>
  <c r="U73" i="6"/>
  <c r="V45" i="7"/>
  <c r="U45" i="7"/>
  <c r="K45" i="7"/>
  <c r="O45" i="7" s="1"/>
  <c r="P45" i="7" s="1"/>
  <c r="V17" i="7"/>
  <c r="K17" i="7"/>
  <c r="O17" i="7" s="1"/>
  <c r="P17" i="7" s="1"/>
  <c r="U17" i="7"/>
  <c r="V105" i="7"/>
  <c r="U105" i="7"/>
  <c r="K105" i="7"/>
  <c r="O105" i="7" s="1"/>
  <c r="P105" i="7" s="1"/>
  <c r="K41" i="7"/>
  <c r="O41" i="7" s="1"/>
  <c r="P41" i="7" s="1"/>
  <c r="U41" i="7"/>
  <c r="W41" i="7" s="1"/>
  <c r="V41" i="7"/>
  <c r="O8" i="6"/>
  <c r="P8" i="6" s="1"/>
  <c r="O14" i="7"/>
  <c r="P14" i="7" s="1"/>
  <c r="O63" i="7"/>
  <c r="P63" i="7" s="1"/>
  <c r="O86" i="7"/>
  <c r="P86" i="7" s="1"/>
  <c r="O57" i="6"/>
  <c r="P57" i="6" s="1"/>
  <c r="U36" i="6"/>
  <c r="V63" i="6"/>
  <c r="W63" i="6" s="1"/>
  <c r="U65" i="6"/>
  <c r="W65" i="6" s="1"/>
  <c r="U51" i="7"/>
  <c r="K51" i="7"/>
  <c r="O51" i="7" s="1"/>
  <c r="P51" i="7" s="1"/>
  <c r="V51" i="7"/>
  <c r="K19" i="7"/>
  <c r="V19" i="7"/>
  <c r="U19" i="7"/>
  <c r="W19" i="7" s="1"/>
  <c r="V60" i="7"/>
  <c r="K60" i="7"/>
  <c r="O60" i="7" s="1"/>
  <c r="P60" i="7" s="1"/>
  <c r="U60" i="7"/>
  <c r="K13" i="7"/>
  <c r="O13" i="7" s="1"/>
  <c r="P13" i="7" s="1"/>
  <c r="V13" i="7"/>
  <c r="U13" i="7"/>
  <c r="V76" i="6"/>
  <c r="U76" i="6"/>
  <c r="K76" i="6"/>
  <c r="O76" i="6" s="1"/>
  <c r="P76" i="6" s="1"/>
  <c r="K28" i="7"/>
  <c r="O28" i="7" s="1"/>
  <c r="P28" i="7" s="1"/>
  <c r="V28" i="7"/>
  <c r="U28" i="7"/>
  <c r="U84" i="6"/>
  <c r="W84" i="6" s="1"/>
  <c r="V84" i="6"/>
  <c r="K84" i="6"/>
  <c r="O84" i="6" s="1"/>
  <c r="P84" i="6" s="1"/>
  <c r="U18" i="6"/>
  <c r="K18" i="6"/>
  <c r="V18" i="6"/>
  <c r="O92" i="6"/>
  <c r="P92" i="6" s="1"/>
  <c r="O95" i="6"/>
  <c r="P95" i="6" s="1"/>
  <c r="V103" i="7"/>
  <c r="U103" i="7"/>
  <c r="K103" i="7"/>
  <c r="O103" i="7" s="1"/>
  <c r="P103" i="7" s="1"/>
  <c r="U42" i="7"/>
  <c r="K42" i="7"/>
  <c r="V42" i="7"/>
  <c r="U58" i="7"/>
  <c r="K58" i="7"/>
  <c r="O58" i="7" s="1"/>
  <c r="P58" i="7" s="1"/>
  <c r="V58" i="7"/>
  <c r="O2" i="6"/>
  <c r="V2" i="6"/>
  <c r="K50" i="7"/>
  <c r="V50" i="7"/>
  <c r="U50" i="7"/>
  <c r="O16" i="6"/>
  <c r="V69" i="6"/>
  <c r="U69" i="6"/>
  <c r="K69" i="6"/>
  <c r="O69" i="6" s="1"/>
  <c r="P69" i="6" s="1"/>
  <c r="O34" i="7"/>
  <c r="P34" i="7" s="1"/>
  <c r="U82" i="7"/>
  <c r="W82" i="7" s="1"/>
  <c r="K82" i="7"/>
  <c r="O82" i="7" s="1"/>
  <c r="P82" i="7" s="1"/>
  <c r="V82" i="7"/>
  <c r="V31" i="6"/>
  <c r="U31" i="6"/>
  <c r="K31" i="6"/>
  <c r="O31" i="6" s="1"/>
  <c r="P31" i="6" s="1"/>
  <c r="U54" i="7"/>
  <c r="V54" i="7"/>
  <c r="K54" i="7"/>
  <c r="O54" i="7" s="1"/>
  <c r="P54" i="7" s="1"/>
  <c r="V64" i="6"/>
  <c r="U64" i="6"/>
  <c r="K64" i="6"/>
  <c r="O64" i="6" s="1"/>
  <c r="P64" i="6" s="1"/>
  <c r="V21" i="6"/>
  <c r="U21" i="6"/>
  <c r="K21" i="6"/>
  <c r="O21" i="6" s="1"/>
  <c r="P21" i="6" s="1"/>
  <c r="P35" i="6"/>
  <c r="O48" i="6"/>
  <c r="U52" i="7"/>
  <c r="K52" i="7"/>
  <c r="O52" i="7" s="1"/>
  <c r="P52" i="7" s="1"/>
  <c r="V52" i="7"/>
  <c r="V104" i="6"/>
  <c r="U104" i="6"/>
  <c r="K104" i="6"/>
  <c r="O104" i="6" s="1"/>
  <c r="P104" i="6" s="1"/>
  <c r="V102" i="7"/>
  <c r="U102" i="7"/>
  <c r="K102" i="7"/>
  <c r="O102" i="7" s="1"/>
  <c r="P102" i="7" s="1"/>
  <c r="U77" i="6"/>
  <c r="K77" i="6"/>
  <c r="O77" i="6" s="1"/>
  <c r="P77" i="6" s="1"/>
  <c r="V77" i="6"/>
  <c r="U58" i="6"/>
  <c r="V58" i="6"/>
  <c r="K58" i="6"/>
  <c r="O58" i="6" s="1"/>
  <c r="P58" i="6" s="1"/>
  <c r="U8" i="7"/>
  <c r="K8" i="7"/>
  <c r="O8" i="7" s="1"/>
  <c r="P8" i="7" s="1"/>
  <c r="V8" i="7"/>
  <c r="V59" i="7"/>
  <c r="U59" i="7"/>
  <c r="K59" i="7"/>
  <c r="O59" i="7" s="1"/>
  <c r="P59" i="7" s="1"/>
  <c r="O26" i="7"/>
  <c r="P26" i="7" s="1"/>
  <c r="V10" i="6"/>
  <c r="U10" i="6"/>
  <c r="K10" i="6"/>
  <c r="O10" i="6" s="1"/>
  <c r="P10" i="6" s="1"/>
  <c r="K61" i="7"/>
  <c r="O61" i="7" s="1"/>
  <c r="P61" i="7" s="1"/>
  <c r="V61" i="7"/>
  <c r="U61" i="7"/>
  <c r="K91" i="7"/>
  <c r="O91" i="7" s="1"/>
  <c r="P91" i="7" s="1"/>
  <c r="V91" i="7"/>
  <c r="U91" i="7"/>
  <c r="V93" i="7"/>
  <c r="U93" i="7"/>
  <c r="K93" i="7"/>
  <c r="O93" i="7" s="1"/>
  <c r="P93" i="7" s="1"/>
  <c r="V31" i="7"/>
  <c r="U31" i="7"/>
  <c r="K31" i="7"/>
  <c r="O31" i="7" s="1"/>
  <c r="P31" i="7" s="1"/>
  <c r="K38" i="7"/>
  <c r="O38" i="7" s="1"/>
  <c r="P38" i="7" s="1"/>
  <c r="V38" i="7"/>
  <c r="U38" i="7"/>
  <c r="V46" i="7"/>
  <c r="U46" i="7"/>
  <c r="K46" i="7"/>
  <c r="O46" i="7" s="1"/>
  <c r="P46" i="7" s="1"/>
  <c r="K101" i="6"/>
  <c r="O101" i="6" s="1"/>
  <c r="P101" i="6" s="1"/>
  <c r="V101" i="6"/>
  <c r="U101" i="6"/>
  <c r="V93" i="6"/>
  <c r="U93" i="6"/>
  <c r="K93" i="6"/>
  <c r="O93" i="6" s="1"/>
  <c r="P93" i="6" s="1"/>
  <c r="K87" i="6"/>
  <c r="O87" i="6" s="1"/>
  <c r="P87" i="6" s="1"/>
  <c r="V87" i="6"/>
  <c r="U87" i="6"/>
  <c r="V68" i="6"/>
  <c r="U68" i="6"/>
  <c r="K68" i="6"/>
  <c r="O68" i="6" s="1"/>
  <c r="P68" i="6" s="1"/>
  <c r="U16" i="7"/>
  <c r="V16" i="7"/>
  <c r="K16" i="7"/>
  <c r="V69" i="7"/>
  <c r="U69" i="7"/>
  <c r="K69" i="7"/>
  <c r="O69" i="7" s="1"/>
  <c r="P69" i="7" s="1"/>
  <c r="V67" i="7"/>
  <c r="U67" i="7"/>
  <c r="W67" i="7" s="1"/>
  <c r="K67" i="7"/>
  <c r="O67" i="7" s="1"/>
  <c r="P67" i="7" s="1"/>
  <c r="U96" i="6"/>
  <c r="V96" i="6"/>
  <c r="K96" i="6"/>
  <c r="K36" i="7"/>
  <c r="O36" i="7" s="1"/>
  <c r="P36" i="7" s="1"/>
  <c r="V36" i="7"/>
  <c r="U36" i="7"/>
  <c r="U89" i="6"/>
  <c r="K89" i="6"/>
  <c r="O89" i="6" s="1"/>
  <c r="P89" i="6" s="1"/>
  <c r="V89" i="6"/>
  <c r="O19" i="7"/>
  <c r="P19" i="7" s="1"/>
  <c r="U40" i="6"/>
  <c r="K40" i="6"/>
  <c r="O40" i="6" s="1"/>
  <c r="P40" i="6" s="1"/>
  <c r="V40" i="6"/>
  <c r="O47" i="6"/>
  <c r="P47" i="6" s="1"/>
  <c r="P38" i="6"/>
  <c r="P16" i="6"/>
  <c r="P71" i="6"/>
  <c r="O42" i="7"/>
  <c r="P42" i="7" s="1"/>
  <c r="O97" i="7"/>
  <c r="P97" i="7" s="1"/>
  <c r="O101" i="7"/>
  <c r="P101" i="7" s="1"/>
  <c r="V30" i="6"/>
  <c r="K30" i="6"/>
  <c r="O30" i="6" s="1"/>
  <c r="P30" i="6" s="1"/>
  <c r="U30" i="6"/>
  <c r="W30" i="6" s="1"/>
  <c r="U39" i="6"/>
  <c r="U17" i="6"/>
  <c r="V36" i="6"/>
  <c r="U75" i="6"/>
  <c r="U25" i="6"/>
  <c r="W25" i="6" s="1"/>
  <c r="O11" i="6"/>
  <c r="V49" i="6"/>
  <c r="U49" i="6"/>
  <c r="K49" i="6"/>
  <c r="O49" i="6" s="1"/>
  <c r="P49" i="6" s="1"/>
  <c r="U33" i="7"/>
  <c r="K33" i="7"/>
  <c r="O33" i="7" s="1"/>
  <c r="P33" i="7" s="1"/>
  <c r="V33" i="7"/>
  <c r="U20" i="7"/>
  <c r="V20" i="7"/>
  <c r="K20" i="7"/>
  <c r="O20" i="7" s="1"/>
  <c r="P20" i="7" s="1"/>
  <c r="U54" i="6"/>
  <c r="W54" i="6" s="1"/>
  <c r="V54" i="6"/>
  <c r="K54" i="6"/>
  <c r="O54" i="6" s="1"/>
  <c r="P54" i="6" s="1"/>
  <c r="U64" i="7"/>
  <c r="V64" i="7"/>
  <c r="K64" i="7"/>
  <c r="O64" i="7" s="1"/>
  <c r="P64" i="7" s="1"/>
  <c r="V45" i="6"/>
  <c r="U45" i="6"/>
  <c r="K45" i="6"/>
  <c r="O45" i="6" s="1"/>
  <c r="P45" i="6" s="1"/>
  <c r="V2" i="7"/>
  <c r="W2" i="7" s="1"/>
  <c r="P17" i="6"/>
  <c r="K90" i="7"/>
  <c r="O90" i="7" s="1"/>
  <c r="P90" i="7" s="1"/>
  <c r="V90" i="7"/>
  <c r="U90" i="7"/>
  <c r="W90" i="7" s="1"/>
  <c r="U92" i="7"/>
  <c r="K92" i="7"/>
  <c r="O92" i="7" s="1"/>
  <c r="P92" i="7" s="1"/>
  <c r="V92" i="7"/>
  <c r="K76" i="7"/>
  <c r="O76" i="7" s="1"/>
  <c r="P76" i="7" s="1"/>
  <c r="U76" i="7"/>
  <c r="V76" i="7"/>
  <c r="U79" i="6"/>
  <c r="K79" i="6"/>
  <c r="O79" i="6" s="1"/>
  <c r="P79" i="6" s="1"/>
  <c r="V79" i="6"/>
  <c r="V100" i="6"/>
  <c r="U100" i="6"/>
  <c r="K100" i="6"/>
  <c r="O100" i="6" s="1"/>
  <c r="P100" i="6" s="1"/>
  <c r="K3" i="7"/>
  <c r="O3" i="7" s="1"/>
  <c r="P3" i="7" s="1"/>
  <c r="U3" i="7"/>
  <c r="W3" i="7" s="1"/>
  <c r="V3" i="7"/>
  <c r="V22" i="7"/>
  <c r="U22" i="7"/>
  <c r="K22" i="7"/>
  <c r="O22" i="7" s="1"/>
  <c r="P22" i="7" s="1"/>
  <c r="K97" i="6"/>
  <c r="O97" i="6" s="1"/>
  <c r="P97" i="6" s="1"/>
  <c r="V97" i="6"/>
  <c r="U97" i="6"/>
  <c r="W97" i="6" s="1"/>
  <c r="K78" i="6"/>
  <c r="O78" i="6" s="1"/>
  <c r="P78" i="6" s="1"/>
  <c r="U78" i="6"/>
  <c r="W78" i="6" s="1"/>
  <c r="V78" i="6"/>
  <c r="V95" i="7"/>
  <c r="U95" i="7"/>
  <c r="K95" i="7"/>
  <c r="O95" i="7" s="1"/>
  <c r="P95" i="7" s="1"/>
  <c r="V79" i="7"/>
  <c r="U79" i="7"/>
  <c r="W79" i="7" s="1"/>
  <c r="K79" i="7"/>
  <c r="O79" i="7" s="1"/>
  <c r="P79" i="7" s="1"/>
  <c r="U74" i="7"/>
  <c r="V74" i="7"/>
  <c r="K74" i="7"/>
  <c r="O74" i="7" s="1"/>
  <c r="P74" i="7" s="1"/>
  <c r="O44" i="6"/>
  <c r="P44" i="6" s="1"/>
  <c r="U3" i="6"/>
  <c r="W3" i="6" s="1"/>
  <c r="K3" i="6"/>
  <c r="O3" i="6" s="1"/>
  <c r="P3" i="6" s="1"/>
  <c r="V3" i="6"/>
  <c r="O98" i="6"/>
  <c r="P98" i="6" s="1"/>
  <c r="K32" i="6"/>
  <c r="O32" i="6" s="1"/>
  <c r="P32" i="6" s="1"/>
  <c r="V32" i="6"/>
  <c r="U32" i="6"/>
  <c r="W32" i="6" s="1"/>
  <c r="P11" i="6"/>
  <c r="V83" i="6"/>
  <c r="U83" i="6"/>
  <c r="K83" i="6"/>
  <c r="O83" i="6" s="1"/>
  <c r="P83" i="6" s="1"/>
  <c r="U34" i="6"/>
  <c r="K34" i="6"/>
  <c r="O34" i="6" s="1"/>
  <c r="P34" i="6" s="1"/>
  <c r="V34" i="6"/>
  <c r="U7" i="7"/>
  <c r="V7" i="7"/>
  <c r="K7" i="7"/>
  <c r="O7" i="7" s="1"/>
  <c r="P7" i="7" s="1"/>
  <c r="P39" i="6"/>
  <c r="P5" i="6"/>
  <c r="O57" i="7"/>
  <c r="P57" i="7" s="1"/>
  <c r="O10" i="7"/>
  <c r="P10" i="7" s="1"/>
  <c r="O90" i="6"/>
  <c r="P90" i="6" s="1"/>
  <c r="O18" i="6"/>
  <c r="P18" i="6" s="1"/>
  <c r="O73" i="6"/>
  <c r="P73" i="6" s="1"/>
  <c r="O96" i="6"/>
  <c r="P96" i="6" s="1"/>
  <c r="P72" i="6"/>
  <c r="P43" i="7"/>
  <c r="O18" i="7"/>
  <c r="P18" i="7" s="1"/>
  <c r="O24" i="7"/>
  <c r="P24" i="7" s="1"/>
  <c r="O35" i="7"/>
  <c r="P35" i="7" s="1"/>
  <c r="O68" i="7"/>
  <c r="P68" i="7" s="1"/>
  <c r="O96" i="7"/>
  <c r="P96" i="7" s="1"/>
  <c r="O62" i="7"/>
  <c r="P62" i="7" s="1"/>
  <c r="O100" i="7"/>
  <c r="P100" i="7" s="1"/>
  <c r="O62" i="6"/>
  <c r="P62" i="6" s="1"/>
  <c r="V39" i="6"/>
  <c r="V17" i="6"/>
  <c r="U15" i="6"/>
  <c r="W15" i="6" s="1"/>
  <c r="V75" i="6"/>
  <c r="U38" i="6"/>
  <c r="U71" i="6"/>
  <c r="U5" i="6"/>
  <c r="O21" i="7"/>
  <c r="P21" i="7" s="1"/>
  <c r="K71" i="7"/>
  <c r="O71" i="7" s="1"/>
  <c r="P71" i="7" s="1"/>
  <c r="V71" i="7"/>
  <c r="U71" i="7"/>
  <c r="K39" i="7"/>
  <c r="O39" i="7" s="1"/>
  <c r="P39" i="7" s="1"/>
  <c r="U39" i="7"/>
  <c r="W39" i="7" s="1"/>
  <c r="V39" i="7"/>
  <c r="O59" i="6"/>
  <c r="P59" i="6" s="1"/>
  <c r="O51" i="6"/>
  <c r="P51" i="6" s="1"/>
  <c r="P46" i="6"/>
  <c r="O94" i="6"/>
  <c r="P94" i="6" s="1"/>
  <c r="P2" i="7"/>
  <c r="K100" i="7"/>
  <c r="V100" i="7"/>
  <c r="U100" i="7"/>
  <c r="V66" i="6"/>
  <c r="U66" i="6"/>
  <c r="K66" i="6"/>
  <c r="O66" i="6" s="1"/>
  <c r="P66" i="6" s="1"/>
  <c r="K15" i="7"/>
  <c r="O15" i="7" s="1"/>
  <c r="P15" i="7" s="1"/>
  <c r="V15" i="7"/>
  <c r="U15" i="7"/>
  <c r="U72" i="7"/>
  <c r="K72" i="7"/>
  <c r="O72" i="7" s="1"/>
  <c r="P72" i="7" s="1"/>
  <c r="V72" i="7"/>
  <c r="O9" i="7"/>
  <c r="P9" i="7" s="1"/>
  <c r="K87" i="7"/>
  <c r="O87" i="7" s="1"/>
  <c r="P87" i="7" s="1"/>
  <c r="V87" i="7"/>
  <c r="U87" i="7"/>
  <c r="W87" i="7" s="1"/>
  <c r="U102" i="6"/>
  <c r="K102" i="6"/>
  <c r="O102" i="6" s="1"/>
  <c r="P102" i="6" s="1"/>
  <c r="V102" i="6"/>
  <c r="V86" i="6"/>
  <c r="U86" i="6"/>
  <c r="K86" i="6"/>
  <c r="O86" i="6" s="1"/>
  <c r="P86" i="6" s="1"/>
  <c r="U81" i="7"/>
  <c r="V81" i="7"/>
  <c r="K81" i="7"/>
  <c r="O81" i="7" s="1"/>
  <c r="P81" i="7" s="1"/>
  <c r="K80" i="7"/>
  <c r="O80" i="7" s="1"/>
  <c r="P80" i="7" s="1"/>
  <c r="V80" i="7"/>
  <c r="U80" i="7"/>
  <c r="V73" i="7"/>
  <c r="K73" i="7"/>
  <c r="O73" i="7" s="1"/>
  <c r="P73" i="7" s="1"/>
  <c r="U73" i="7"/>
  <c r="U78" i="7"/>
  <c r="K78" i="7"/>
  <c r="O78" i="7" s="1"/>
  <c r="P78" i="7" s="1"/>
  <c r="V78" i="7"/>
  <c r="V50" i="6"/>
  <c r="K50" i="6"/>
  <c r="O50" i="6" s="1"/>
  <c r="P50" i="6" s="1"/>
  <c r="U50" i="6"/>
  <c r="W50" i="6" s="1"/>
  <c r="V20" i="6"/>
  <c r="U20" i="6"/>
  <c r="W20" i="6" s="1"/>
  <c r="K20" i="6"/>
  <c r="O20" i="6" s="1"/>
  <c r="P20" i="6" s="1"/>
  <c r="K5" i="7"/>
  <c r="O5" i="7" s="1"/>
  <c r="P5" i="7" s="1"/>
  <c r="U5" i="7"/>
  <c r="V5" i="7"/>
  <c r="V105" i="6"/>
  <c r="U105" i="6"/>
  <c r="K105" i="6"/>
  <c r="O105" i="6" s="1"/>
  <c r="P105" i="6" s="1"/>
  <c r="K88" i="6"/>
  <c r="O88" i="6" s="1"/>
  <c r="P88" i="6" s="1"/>
  <c r="V88" i="6"/>
  <c r="U88" i="6"/>
  <c r="W88" i="6" s="1"/>
  <c r="K65" i="7"/>
  <c r="O65" i="7" s="1"/>
  <c r="P65" i="7" s="1"/>
  <c r="V65" i="7"/>
  <c r="U65" i="7"/>
  <c r="V83" i="7"/>
  <c r="U83" i="7"/>
  <c r="K83" i="7"/>
  <c r="O83" i="7" s="1"/>
  <c r="P83" i="7" s="1"/>
  <c r="V77" i="7"/>
  <c r="U77" i="7"/>
  <c r="W77" i="7" s="1"/>
  <c r="K77" i="7"/>
  <c r="O77" i="7" s="1"/>
  <c r="P77" i="7" s="1"/>
  <c r="V82" i="6"/>
  <c r="U82" i="6"/>
  <c r="K82" i="6"/>
  <c r="O82" i="6" s="1"/>
  <c r="P82" i="6" s="1"/>
  <c r="K42" i="6"/>
  <c r="O42" i="6" s="1"/>
  <c r="P42" i="6" s="1"/>
  <c r="V42" i="6"/>
  <c r="U42" i="6"/>
  <c r="U14" i="6"/>
  <c r="K14" i="6"/>
  <c r="O14" i="6" s="1"/>
  <c r="P14" i="6" s="1"/>
  <c r="V14" i="6"/>
  <c r="O27" i="7"/>
  <c r="P27" i="7" s="1"/>
  <c r="U80" i="6"/>
  <c r="K80" i="6"/>
  <c r="O80" i="6" s="1"/>
  <c r="P80" i="6" s="1"/>
  <c r="V80" i="6"/>
  <c r="V11" i="7"/>
  <c r="U11" i="7"/>
  <c r="W11" i="7" s="1"/>
  <c r="K11" i="7"/>
  <c r="O11" i="7" s="1"/>
  <c r="P11" i="7" s="1"/>
  <c r="U99" i="6"/>
  <c r="K99" i="6"/>
  <c r="O99" i="6" s="1"/>
  <c r="P99" i="6" s="1"/>
  <c r="V99" i="6"/>
  <c r="U33" i="6"/>
  <c r="K33" i="6"/>
  <c r="O33" i="6" s="1"/>
  <c r="P33" i="6" s="1"/>
  <c r="V33" i="6"/>
  <c r="O7" i="6"/>
  <c r="P7" i="6" s="1"/>
  <c r="O16" i="7"/>
  <c r="P16" i="7" s="1"/>
  <c r="P48" i="6"/>
  <c r="O29" i="6"/>
  <c r="P29" i="6" s="1"/>
  <c r="P26" i="6"/>
  <c r="P81" i="6"/>
  <c r="O74" i="6"/>
  <c r="P74" i="6" s="1"/>
  <c r="O50" i="7"/>
  <c r="P50" i="7" s="1"/>
  <c r="O70" i="7"/>
  <c r="P70" i="7" s="1"/>
  <c r="O89" i="7"/>
  <c r="P89" i="7" s="1"/>
  <c r="C18" i="8"/>
  <c r="U60" i="6"/>
  <c r="W60" i="6" s="1"/>
  <c r="K60" i="6"/>
  <c r="O60" i="6" s="1"/>
  <c r="P60" i="6" s="1"/>
  <c r="V60" i="6"/>
  <c r="U23" i="6"/>
  <c r="K23" i="6"/>
  <c r="O23" i="6" s="1"/>
  <c r="P23" i="6" s="1"/>
  <c r="V23" i="6"/>
  <c r="U6" i="6"/>
  <c r="W6" i="6" s="1"/>
  <c r="V38" i="6"/>
  <c r="V71" i="6"/>
  <c r="V5" i="6"/>
  <c r="W32" i="7" l="1"/>
  <c r="W79" i="6"/>
  <c r="W16" i="7"/>
  <c r="W35" i="7"/>
  <c r="W72" i="7"/>
  <c r="W105" i="6"/>
  <c r="W40" i="6"/>
  <c r="W12" i="7"/>
  <c r="W55" i="7"/>
  <c r="W95" i="6"/>
  <c r="W68" i="7"/>
  <c r="W42" i="6"/>
  <c r="W83" i="7"/>
  <c r="W24" i="7"/>
  <c r="W93" i="7"/>
  <c r="W91" i="7"/>
  <c r="W44" i="7"/>
  <c r="W55" i="6"/>
  <c r="W104" i="7"/>
  <c r="W6" i="7"/>
  <c r="W75" i="7"/>
  <c r="W62" i="7"/>
  <c r="W103" i="6"/>
  <c r="W21" i="7"/>
  <c r="W98" i="6"/>
  <c r="W99" i="6"/>
  <c r="W86" i="6"/>
  <c r="W21" i="6"/>
  <c r="W50" i="7"/>
  <c r="W42" i="7"/>
  <c r="W53" i="7"/>
  <c r="W8" i="6"/>
  <c r="W28" i="6"/>
  <c r="W71" i="7"/>
  <c r="W95" i="7"/>
  <c r="W101" i="6"/>
  <c r="W85" i="6"/>
  <c r="W61" i="6"/>
  <c r="W49" i="6"/>
  <c r="W10" i="6"/>
  <c r="W28" i="7"/>
  <c r="W56" i="6"/>
  <c r="W43" i="6"/>
  <c r="W5" i="6"/>
  <c r="W27" i="6"/>
  <c r="W102" i="6"/>
  <c r="W66" i="6"/>
  <c r="W74" i="7"/>
  <c r="W51" i="6"/>
  <c r="W12" i="6"/>
  <c r="W92" i="7"/>
  <c r="W45" i="6"/>
  <c r="W54" i="7"/>
  <c r="W76" i="6"/>
  <c r="W57" i="7"/>
  <c r="W40" i="7"/>
  <c r="W43" i="7"/>
  <c r="W30" i="7"/>
  <c r="W72" i="6"/>
  <c r="W34" i="6"/>
  <c r="W17" i="6"/>
  <c r="W61" i="7"/>
  <c r="W102" i="7"/>
  <c r="W18" i="6"/>
  <c r="W13" i="7"/>
  <c r="W49" i="7"/>
  <c r="W74" i="6"/>
  <c r="W29" i="7"/>
  <c r="W83" i="6"/>
  <c r="W22" i="7"/>
  <c r="W59" i="7"/>
  <c r="W77" i="6"/>
  <c r="W103" i="7"/>
  <c r="W45" i="7"/>
  <c r="W41" i="6"/>
  <c r="W53" i="6"/>
  <c r="W62" i="6"/>
  <c r="W31" i="7"/>
  <c r="W60" i="7"/>
  <c r="W47" i="7"/>
  <c r="W56" i="7"/>
  <c r="W52" i="6"/>
  <c r="W96" i="6"/>
  <c r="W73" i="6"/>
  <c r="W70" i="7"/>
  <c r="W76" i="7"/>
  <c r="W20" i="7"/>
  <c r="W89" i="6"/>
  <c r="W68" i="6"/>
  <c r="W31" i="6"/>
  <c r="W36" i="6"/>
  <c r="W105" i="7"/>
  <c r="W23" i="7"/>
  <c r="W59" i="6"/>
  <c r="W92" i="6"/>
  <c r="W57" i="6"/>
  <c r="W63" i="7"/>
  <c r="W33" i="6"/>
  <c r="W80" i="6"/>
  <c r="W81" i="7"/>
  <c r="W7" i="7"/>
  <c r="W8" i="7"/>
  <c r="W88" i="7"/>
  <c r="W38" i="6"/>
  <c r="W23" i="6"/>
  <c r="W65" i="7"/>
  <c r="W5" i="7"/>
  <c r="W78" i="7"/>
  <c r="W100" i="7"/>
  <c r="W64" i="7"/>
  <c r="W36" i="7"/>
  <c r="W87" i="6"/>
  <c r="W46" i="7"/>
  <c r="W104" i="6"/>
  <c r="W69" i="6"/>
  <c r="W58" i="7"/>
  <c r="W37" i="7"/>
  <c r="W18" i="7"/>
  <c r="W84" i="7"/>
  <c r="W35" i="6"/>
  <c r="W98" i="7"/>
  <c r="W73" i="7"/>
  <c r="W75" i="6"/>
  <c r="W17" i="7"/>
  <c r="W22" i="6"/>
  <c r="W48" i="6"/>
  <c r="W101" i="7"/>
  <c r="W94" i="7"/>
  <c r="W14" i="6"/>
  <c r="W71" i="6"/>
  <c r="W82" i="6"/>
  <c r="W100" i="6"/>
  <c r="W69" i="7"/>
  <c r="W38" i="7"/>
  <c r="W58" i="6"/>
  <c r="W64" i="6"/>
  <c r="W11" i="6"/>
  <c r="W2" i="6"/>
  <c r="W48" i="7"/>
  <c r="W27" i="7"/>
  <c r="W4" i="7"/>
  <c r="W86" i="7"/>
  <c r="C8" i="8"/>
  <c r="C9" i="9"/>
  <c r="P2" i="6"/>
  <c r="W90" i="6"/>
  <c r="W80" i="7"/>
  <c r="W15" i="7"/>
  <c r="W33" i="7"/>
  <c r="W39" i="6"/>
  <c r="W93" i="6"/>
  <c r="W52" i="7"/>
  <c r="W51" i="7"/>
  <c r="W96" i="7"/>
  <c r="W25" i="7"/>
  <c r="W37" i="6"/>
  <c r="W46" i="6"/>
  <c r="W26" i="7"/>
  <c r="W9" i="7"/>
  <c r="W99" i="7"/>
  <c r="W44" i="6"/>
  <c r="W106" i="7" l="1"/>
  <c r="B10" i="9"/>
  <c r="D19" i="8"/>
  <c r="E19" i="8" s="1"/>
  <c r="C9" i="8"/>
  <c r="W106" i="6"/>
  <c r="C10" i="9" s="1"/>
  <c r="C12" i="9" s="1"/>
  <c r="B8" i="8"/>
  <c r="B9" i="9"/>
  <c r="B12" i="9" s="1"/>
  <c r="D23" i="9" l="1"/>
  <c r="E23" i="9" s="1"/>
  <c r="C14" i="9"/>
  <c r="D18" i="8"/>
  <c r="E18" i="8" s="1"/>
  <c r="E20" i="8" s="1"/>
  <c r="B9" i="8"/>
  <c r="C11" i="8" s="1"/>
  <c r="C12" i="8" s="1"/>
  <c r="D22" i="9"/>
  <c r="E22" i="9" s="1"/>
  <c r="E24" i="9" s="1"/>
  <c r="B14" i="9"/>
  <c r="C16" i="9" s="1"/>
  <c r="C17" i="9" s="1"/>
</calcChain>
</file>

<file path=xl/sharedStrings.xml><?xml version="1.0" encoding="utf-8"?>
<sst xmlns="http://schemas.openxmlformats.org/spreadsheetml/2006/main" count="974" uniqueCount="74">
  <si>
    <t>Product Id</t>
  </si>
  <si>
    <t>Product Desc</t>
  </si>
  <si>
    <t>Package Qty</t>
  </si>
  <si>
    <t>Weight</t>
  </si>
  <si>
    <t>Weight Unit of Measure</t>
  </si>
  <si>
    <t>Wrench</t>
  </si>
  <si>
    <t>LB</t>
  </si>
  <si>
    <t>Saw</t>
  </si>
  <si>
    <t>Drill</t>
  </si>
  <si>
    <t>Hammer</t>
  </si>
  <si>
    <t>Carrier</t>
  </si>
  <si>
    <t>Supplier</t>
  </si>
  <si>
    <t>Str Nbr</t>
  </si>
  <si>
    <t>Cost</t>
  </si>
  <si>
    <t>Key</t>
  </si>
  <si>
    <t>X</t>
  </si>
  <si>
    <t>A</t>
  </si>
  <si>
    <t>B</t>
  </si>
  <si>
    <t>Y</t>
  </si>
  <si>
    <t>Order Dt</t>
  </si>
  <si>
    <t>Order Qty</t>
  </si>
  <si>
    <t>Product Weight</t>
  </si>
  <si>
    <t>Order Weight</t>
  </si>
  <si>
    <t>create new order qty and its weight later add it into the final count (as it has 10% increase)</t>
  </si>
  <si>
    <t>Shipment Date</t>
  </si>
  <si>
    <t>Weight(2014 total weight)</t>
  </si>
  <si>
    <t>Order Qty (Wrench)</t>
  </si>
  <si>
    <t>Hammer Order Qty (forecast)</t>
  </si>
  <si>
    <t>Hammer Weight per Unit</t>
  </si>
  <si>
    <t>Hammer shipment Weight</t>
  </si>
  <si>
    <t>Order Week</t>
  </si>
  <si>
    <t>Store no.</t>
  </si>
  <si>
    <t>Wrench Qty</t>
  </si>
  <si>
    <t>Hammer Qty (forecast)</t>
  </si>
  <si>
    <t>Hammer Weight</t>
  </si>
  <si>
    <t>Current Shipment Weight (A only)</t>
  </si>
  <si>
    <t>Projected Base Weight (A only)</t>
  </si>
  <si>
    <t>Total Shipment Weight 2015 (With hammers)</t>
  </si>
  <si>
    <t>Carrier X Rate (Flat)</t>
  </si>
  <si>
    <t>Carrier Y Rate (Var)</t>
  </si>
  <si>
    <t>Carrier X Cost (Flat)</t>
  </si>
  <si>
    <t>Carrier Y Cost (Var)</t>
  </si>
  <si>
    <t>Weekly Shipping Cost</t>
  </si>
  <si>
    <t>Hammer Cost</t>
  </si>
  <si>
    <t>Total Weekly Hammer Cost</t>
  </si>
  <si>
    <t>Carrier X Cost for projected base weight</t>
  </si>
  <si>
    <t>Carrier Y Cost for projected base weight</t>
  </si>
  <si>
    <t>Weekly Shipping Cost for projected Base weight</t>
  </si>
  <si>
    <t>Supplier A baseline shipping cost anually</t>
  </si>
  <si>
    <t>Current Shipment Weight (B only)</t>
  </si>
  <si>
    <t>Projected Base Weight (B only)</t>
  </si>
  <si>
    <t>Component</t>
  </si>
  <si>
    <t>Scenario A : Supplier A ships hammers</t>
  </si>
  <si>
    <t>Scenario B : Supplier B ships hammers</t>
  </si>
  <si>
    <t>Hammer Supplier</t>
  </si>
  <si>
    <t>Hammer Price per Unit</t>
  </si>
  <si>
    <t>Total Hammer Demand (annual units)</t>
  </si>
  <si>
    <t>Hammer Product Cost</t>
  </si>
  <si>
    <t>Transportation Cost for all products from this supplier (w/ hammers)</t>
  </si>
  <si>
    <t>Hammer Cost including transportation</t>
  </si>
  <si>
    <t>Difference in cost from Supplier A - Supplier B</t>
  </si>
  <si>
    <t>Recommendation</t>
  </si>
  <si>
    <r>
      <rPr>
        <b/>
        <sz val="11"/>
        <color theme="1"/>
        <rFont val="Calibri"/>
        <family val="2"/>
      </rPr>
      <t xml:space="preserve">Note : </t>
    </r>
    <r>
      <rPr>
        <sz val="11"/>
        <color theme="1"/>
        <rFont val="Calibri"/>
        <family val="2"/>
      </rPr>
      <t>Below summary is based on whole values</t>
    </r>
  </si>
  <si>
    <t>Hammer Cost Per Unit</t>
  </si>
  <si>
    <t>Transportation  Cost</t>
  </si>
  <si>
    <t>Total Cost</t>
  </si>
  <si>
    <t>Supplier A</t>
  </si>
  <si>
    <t>Supplier B</t>
  </si>
  <si>
    <t>Diff</t>
  </si>
  <si>
    <t xml:space="preserve">Transportation Cost for products from other supplier </t>
  </si>
  <si>
    <t xml:space="preserve">Total Transportation Cost </t>
  </si>
  <si>
    <r>
      <rPr>
        <b/>
        <sz val="11"/>
        <color theme="1"/>
        <rFont val="Calibri"/>
        <family val="2"/>
      </rPr>
      <t xml:space="preserve">Note : </t>
    </r>
    <r>
      <rPr>
        <sz val="11"/>
        <color theme="1"/>
        <rFont val="Calibri"/>
        <family val="2"/>
      </rPr>
      <t>Below summary is based on whole values</t>
    </r>
  </si>
  <si>
    <t>Total transportation  Cost for all products</t>
  </si>
  <si>
    <t>Total Cost (product price and supplier for other products are already 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</si>
</sst>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&quot;$&quot;* #,##0_);_(&quot;$&quot;* \(#,##0\);_(&quot;$&quot;* &quot;-&quot;??_);_(@_)"/>
    <numFmt numFmtId="166" formatCode="_(* #,##0_);_(* \(#,##0\);_(* &quot;-&quot;??_);_(@_)"/>
    <numFmt numFmtId="167" formatCode="_(&quot;$&quot;* #,##0.00_);_(&quot;$&quot;* \(#,##0.00\);_(&quot;$&quot;* &quot;-&quot;??.00_);_(@_)"/>
    <numFmt numFmtId="168" formatCode="&quot;$&quot;#,##0.00"/>
    <numFmt numFmtId="169" formatCode="_(* #,##0.00_);_(* \(#,##0.00\);_(* &quot;-&quot;??.00_);_(@_)"/>
    <numFmt numFmtId="170" formatCode="&quot;$&quot;#,##0"/>
  </numFmts>
  <fonts count="9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27251E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44" fontId="2" fillId="0" borderId="1" xfId="0" applyNumberFormat="1" applyFont="1" applyBorder="1" applyAlignment="1">
      <alignment vertical="center"/>
    </xf>
    <xf numFmtId="1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6" fontId="1" fillId="2" borderId="2" xfId="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66" fontId="3" fillId="0" borderId="0" xfId="0" applyNumberFormat="1" applyFont="1" applyAlignment="1">
      <alignment horizontal="right" vertical="center" wrapText="1"/>
    </xf>
    <xf numFmtId="2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167" fontId="1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8" fontId="2" fillId="0" borderId="3" xfId="0" applyNumberFormat="1" applyFont="1" applyBorder="1" applyAlignment="1">
      <alignment vertical="center"/>
    </xf>
    <xf numFmtId="167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44" fontId="2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center" wrapText="1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/>
    </xf>
    <xf numFmtId="0" fontId="8" fillId="0" borderId="0" xfId="0" applyFont="1" applyAlignment="1">
      <alignment wrapText="1"/>
    </xf>
    <xf numFmtId="0" fontId="4" fillId="0" borderId="0" xfId="0" applyFont="1"/>
    <xf numFmtId="170" fontId="4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 vertical="center"/>
    </xf>
    <xf numFmtId="169" fontId="2" fillId="3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6" fontId="4" fillId="2" borderId="1" xfId="0" applyNumberFormat="1" applyFont="1" applyFill="1" applyBorder="1" applyAlignment="1">
      <alignment horizontal="center" wrapText="1"/>
    </xf>
    <xf numFmtId="0" fontId="2" fillId="0" borderId="1" xfId="0" applyFont="1" applyBorder="1"/>
    <xf numFmtId="44" fontId="2" fillId="0" borderId="1" xfId="0" applyNumberFormat="1" applyFont="1" applyBorder="1"/>
    <xf numFmtId="170" fontId="2" fillId="0" borderId="0" xfId="0" applyNumberFormat="1" applyFont="1" applyAlignment="1">
      <alignment horizontal="center" vertical="center"/>
    </xf>
    <xf numFmtId="170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2" fillId="0" borderId="4" xfId="0" applyFont="1" applyBorder="1"/>
    <xf numFmtId="44" fontId="2" fillId="0" borderId="4" xfId="0" applyNumberFormat="1" applyFont="1" applyBorder="1"/>
    <xf numFmtId="170" fontId="2" fillId="0" borderId="5" xfId="0" applyNumberFormat="1" applyFont="1" applyBorder="1" applyAlignment="1">
      <alignment horizontal="center" vertical="center"/>
    </xf>
    <xf numFmtId="0" fontId="2" fillId="0" borderId="6" xfId="0" applyFont="1" applyBorder="1"/>
    <xf numFmtId="165" fontId="2" fillId="0" borderId="7" xfId="0" applyNumberFormat="1" applyFont="1" applyBorder="1"/>
    <xf numFmtId="165" fontId="2" fillId="3" borderId="8" xfId="0" applyNumberFormat="1" applyFont="1" applyFill="1" applyBorder="1"/>
    <xf numFmtId="0" fontId="3" fillId="0" borderId="9" xfId="0" applyFont="1" applyBorder="1"/>
    <xf numFmtId="169" fontId="3" fillId="0" borderId="9" xfId="0" applyNumberFormat="1" applyFont="1" applyBorder="1" applyAlignment="1">
      <alignment horizontal="right"/>
    </xf>
    <xf numFmtId="169" fontId="3" fillId="0" borderId="10" xfId="0" applyNumberFormat="1" applyFont="1" applyBorder="1" applyAlignment="1">
      <alignment horizontal="right"/>
    </xf>
    <xf numFmtId="0" fontId="3" fillId="0" borderId="0" xfId="0" applyFont="1"/>
    <xf numFmtId="169" fontId="3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4.5" defaultRowHeight="15" customHeight="1" x14ac:dyDescent="0.2"/>
  <cols>
    <col min="1" max="1" width="7.83203125" customWidth="1"/>
    <col min="2" max="2" width="12.5" customWidth="1"/>
    <col min="3" max="3" width="8.1640625" customWidth="1"/>
    <col min="4" max="4" width="8" customWidth="1"/>
    <col min="5" max="5" width="14.1640625" customWidth="1"/>
    <col min="6" max="26" width="9.1640625" customWidth="1"/>
  </cols>
  <sheetData>
    <row r="1" spans="1:26" ht="32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x14ac:dyDescent="0.2">
      <c r="A2" s="4">
        <v>1</v>
      </c>
      <c r="B2" s="5" t="s">
        <v>5</v>
      </c>
      <c r="C2" s="4">
        <v>1</v>
      </c>
      <c r="D2" s="6">
        <v>2.2000000000000002</v>
      </c>
      <c r="E2" s="5" t="s">
        <v>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6" x14ac:dyDescent="0.2">
      <c r="A3" s="4">
        <v>2</v>
      </c>
      <c r="B3" s="5" t="s">
        <v>7</v>
      </c>
      <c r="C3" s="4">
        <v>1</v>
      </c>
      <c r="D3" s="6">
        <v>1.2</v>
      </c>
      <c r="E3" s="5" t="s">
        <v>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" x14ac:dyDescent="0.2">
      <c r="A4" s="4">
        <v>3</v>
      </c>
      <c r="B4" s="5" t="s">
        <v>8</v>
      </c>
      <c r="C4" s="4">
        <v>1</v>
      </c>
      <c r="D4" s="6">
        <v>8.3000000000000007</v>
      </c>
      <c r="E4" s="5" t="s">
        <v>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6" x14ac:dyDescent="0.2">
      <c r="A5" s="4">
        <v>4</v>
      </c>
      <c r="B5" s="5" t="s">
        <v>9</v>
      </c>
      <c r="C5" s="4">
        <v>1</v>
      </c>
      <c r="D5" s="6">
        <v>2</v>
      </c>
      <c r="E5" s="5" t="s">
        <v>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/>
      <c r="B6" s="7"/>
      <c r="C6" s="7"/>
      <c r="D6" s="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8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">
      <c r="A21" s="7"/>
      <c r="B21" s="7"/>
      <c r="C21" s="7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">
      <c r="A22" s="7"/>
      <c r="B22" s="7"/>
      <c r="C22" s="7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">
      <c r="A23" s="7"/>
      <c r="B23" s="7"/>
      <c r="C23" s="7"/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">
      <c r="A24" s="7"/>
      <c r="B24" s="7"/>
      <c r="C24" s="7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7"/>
      <c r="B25" s="7"/>
      <c r="C25" s="7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7"/>
      <c r="B26" s="7"/>
      <c r="C26" s="7"/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7"/>
      <c r="B27" s="7"/>
      <c r="C27" s="7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7"/>
      <c r="B28" s="7"/>
      <c r="C28" s="7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7"/>
      <c r="B29" s="7"/>
      <c r="C29" s="7"/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7"/>
      <c r="B30" s="7"/>
      <c r="C30" s="7"/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7"/>
      <c r="B31" s="7"/>
      <c r="C31" s="7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7"/>
      <c r="B32" s="7"/>
      <c r="C32" s="7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7"/>
      <c r="B33" s="7"/>
      <c r="C33" s="7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7"/>
      <c r="B34" s="7"/>
      <c r="C34" s="7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7"/>
      <c r="B35" s="7"/>
      <c r="C35" s="7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7"/>
      <c r="B36" s="7"/>
      <c r="C36" s="7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7"/>
      <c r="B37" s="7"/>
      <c r="C37" s="7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7"/>
      <c r="B38" s="7"/>
      <c r="C38" s="7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7"/>
      <c r="B39" s="7"/>
      <c r="C39" s="7"/>
      <c r="D39" s="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7"/>
      <c r="B40" s="7"/>
      <c r="C40" s="7"/>
      <c r="D40" s="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7"/>
      <c r="B41" s="7"/>
      <c r="C41" s="7"/>
      <c r="D41" s="8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7"/>
      <c r="B42" s="7"/>
      <c r="C42" s="7"/>
      <c r="D42" s="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7"/>
      <c r="B43" s="7"/>
      <c r="C43" s="7"/>
      <c r="D43" s="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7"/>
      <c r="B44" s="7"/>
      <c r="C44" s="7"/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7"/>
      <c r="B45" s="7"/>
      <c r="C45" s="7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7"/>
      <c r="B46" s="7"/>
      <c r="C46" s="7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7"/>
      <c r="B47" s="7"/>
      <c r="C47" s="7"/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7"/>
      <c r="B48" s="7"/>
      <c r="C48" s="7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7"/>
      <c r="B49" s="7"/>
      <c r="C49" s="7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7"/>
      <c r="B50" s="7"/>
      <c r="C50" s="7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7"/>
      <c r="B51" s="7"/>
      <c r="C51" s="7"/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7"/>
      <c r="B52" s="7"/>
      <c r="C52" s="7"/>
      <c r="D52" s="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7"/>
      <c r="B53" s="7"/>
      <c r="C53" s="7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7"/>
      <c r="B54" s="7"/>
      <c r="C54" s="7"/>
      <c r="D54" s="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7"/>
      <c r="B55" s="7"/>
      <c r="C55" s="7"/>
      <c r="D55" s="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7"/>
      <c r="B56" s="7"/>
      <c r="C56" s="7"/>
      <c r="D56" s="8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7"/>
      <c r="B57" s="7"/>
      <c r="C57" s="7"/>
      <c r="D57" s="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7"/>
      <c r="B58" s="7"/>
      <c r="C58" s="7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7"/>
      <c r="B59" s="7"/>
      <c r="C59" s="7"/>
      <c r="D59" s="8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7"/>
      <c r="B60" s="7"/>
      <c r="C60" s="7"/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7"/>
      <c r="B61" s="7"/>
      <c r="C61" s="7"/>
      <c r="D61" s="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7"/>
      <c r="B62" s="7"/>
      <c r="C62" s="7"/>
      <c r="D62" s="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7"/>
      <c r="B63" s="7"/>
      <c r="C63" s="7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7"/>
      <c r="B64" s="7"/>
      <c r="C64" s="7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7"/>
      <c r="B65" s="7"/>
      <c r="C65" s="7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7"/>
      <c r="B66" s="7"/>
      <c r="C66" s="7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7"/>
      <c r="B67" s="7"/>
      <c r="C67" s="7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7"/>
      <c r="B68" s="7"/>
      <c r="C68" s="7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7"/>
      <c r="B69" s="7"/>
      <c r="C69" s="7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7"/>
      <c r="B70" s="7"/>
      <c r="C70" s="7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7"/>
      <c r="B71" s="7"/>
      <c r="C71" s="7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7"/>
      <c r="B72" s="7"/>
      <c r="C72" s="7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7"/>
      <c r="B73" s="7"/>
      <c r="C73" s="7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7"/>
      <c r="B74" s="7"/>
      <c r="C74" s="7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7"/>
      <c r="B75" s="7"/>
      <c r="C75" s="7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7"/>
      <c r="B76" s="7"/>
      <c r="C76" s="7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7"/>
      <c r="B77" s="7"/>
      <c r="C77" s="7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7"/>
      <c r="B78" s="7"/>
      <c r="C78" s="7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7"/>
      <c r="B79" s="7"/>
      <c r="C79" s="7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7"/>
      <c r="B80" s="7"/>
      <c r="C80" s="7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7"/>
      <c r="B81" s="7"/>
      <c r="C81" s="7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7"/>
      <c r="B82" s="7"/>
      <c r="C82" s="7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7"/>
      <c r="B83" s="7"/>
      <c r="C83" s="7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7"/>
      <c r="B84" s="7"/>
      <c r="C84" s="7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7"/>
      <c r="B85" s="7"/>
      <c r="C85" s="7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7"/>
      <c r="B86" s="7"/>
      <c r="C86" s="7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7"/>
      <c r="B87" s="7"/>
      <c r="C87" s="7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7"/>
      <c r="B88" s="7"/>
      <c r="C88" s="7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7"/>
      <c r="B89" s="7"/>
      <c r="C89" s="7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7"/>
      <c r="B90" s="7"/>
      <c r="C90" s="7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7"/>
      <c r="B91" s="7"/>
      <c r="C91" s="7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7"/>
      <c r="B92" s="7"/>
      <c r="C92" s="7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7"/>
      <c r="B93" s="7"/>
      <c r="C93" s="7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7"/>
      <c r="B94" s="7"/>
      <c r="C94" s="7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7"/>
      <c r="B95" s="7"/>
      <c r="C95" s="7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7"/>
      <c r="B96" s="7"/>
      <c r="C96" s="7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7"/>
      <c r="B97" s="7"/>
      <c r="C97" s="7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7"/>
      <c r="B98" s="7"/>
      <c r="C98" s="7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7"/>
      <c r="B99" s="7"/>
      <c r="C99" s="7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">
      <c r="A100" s="7"/>
      <c r="B100" s="7"/>
      <c r="C100" s="7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7"/>
      <c r="B101" s="7"/>
      <c r="C101" s="7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7"/>
      <c r="B102" s="7"/>
      <c r="C102" s="7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7"/>
      <c r="B103" s="7"/>
      <c r="C103" s="7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7"/>
      <c r="B104" s="7"/>
      <c r="C104" s="7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7"/>
      <c r="B105" s="7"/>
      <c r="C105" s="7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7"/>
      <c r="B106" s="7"/>
      <c r="C106" s="7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7"/>
      <c r="B107" s="7"/>
      <c r="C107" s="7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7"/>
      <c r="B108" s="7"/>
      <c r="C108" s="7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7"/>
      <c r="B109" s="7"/>
      <c r="C109" s="7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7"/>
      <c r="B110" s="7"/>
      <c r="C110" s="7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7"/>
      <c r="B111" s="7"/>
      <c r="C111" s="7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7"/>
      <c r="B112" s="7"/>
      <c r="C112" s="7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7"/>
      <c r="B113" s="7"/>
      <c r="C113" s="7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7"/>
      <c r="B115" s="7"/>
      <c r="C115" s="7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7"/>
      <c r="B116" s="7"/>
      <c r="C116" s="7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7"/>
      <c r="B117" s="7"/>
      <c r="C117" s="7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7"/>
      <c r="B132" s="7"/>
      <c r="C132" s="7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7"/>
      <c r="B133" s="7"/>
      <c r="C133" s="7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7"/>
      <c r="B134" s="7"/>
      <c r="C134" s="7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7"/>
      <c r="B135" s="7"/>
      <c r="C135" s="7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7"/>
      <c r="B136" s="7"/>
      <c r="C136" s="7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7"/>
      <c r="B137" s="7"/>
      <c r="C137" s="7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7"/>
      <c r="B138" s="7"/>
      <c r="C138" s="7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7"/>
      <c r="B139" s="7"/>
      <c r="C139" s="7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7"/>
      <c r="B140" s="7"/>
      <c r="C140" s="7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7"/>
      <c r="B141" s="7"/>
      <c r="C141" s="7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7"/>
      <c r="B142" s="7"/>
      <c r="C142" s="7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7"/>
      <c r="B143" s="7"/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7"/>
      <c r="B144" s="7"/>
      <c r="C144" s="7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7"/>
      <c r="B145" s="7"/>
      <c r="C145" s="7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7"/>
      <c r="B146" s="7"/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7"/>
      <c r="B147" s="7"/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7"/>
      <c r="B148" s="7"/>
      <c r="C148" s="7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7"/>
      <c r="B149" s="7"/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7"/>
      <c r="B150" s="7"/>
      <c r="C150" s="7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7"/>
      <c r="B151" s="7"/>
      <c r="C151" s="7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7"/>
      <c r="B152" s="7"/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7"/>
      <c r="B153" s="7"/>
      <c r="C153" s="7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7"/>
      <c r="B154" s="7"/>
      <c r="C154" s="7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7"/>
      <c r="B155" s="7"/>
      <c r="C155" s="7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7"/>
      <c r="B156" s="7"/>
      <c r="C156" s="7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7"/>
      <c r="B157" s="7"/>
      <c r="C157" s="7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7"/>
      <c r="B158" s="7"/>
      <c r="C158" s="7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7"/>
      <c r="B159" s="7"/>
      <c r="C159" s="7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7"/>
      <c r="B160" s="7"/>
      <c r="C160" s="7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7"/>
      <c r="B161" s="7"/>
      <c r="C161" s="7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7"/>
      <c r="B162" s="7"/>
      <c r="C162" s="7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7"/>
      <c r="B163" s="7"/>
      <c r="C163" s="7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7"/>
      <c r="B164" s="7"/>
      <c r="C164" s="7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7"/>
      <c r="B165" s="7"/>
      <c r="C165" s="7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7"/>
      <c r="B166" s="7"/>
      <c r="C166" s="7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7"/>
      <c r="B167" s="7"/>
      <c r="C167" s="7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7"/>
      <c r="B168" s="7"/>
      <c r="C168" s="7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7"/>
      <c r="B169" s="7"/>
      <c r="C169" s="7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7"/>
      <c r="B170" s="7"/>
      <c r="C170" s="7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7"/>
      <c r="B171" s="7"/>
      <c r="C171" s="7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7"/>
      <c r="B172" s="7"/>
      <c r="C172" s="7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7"/>
      <c r="B173" s="7"/>
      <c r="C173" s="7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7"/>
      <c r="B174" s="7"/>
      <c r="C174" s="7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7"/>
      <c r="B175" s="7"/>
      <c r="C175" s="7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7"/>
      <c r="B176" s="7"/>
      <c r="C176" s="7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7"/>
      <c r="B177" s="7"/>
      <c r="C177" s="7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7"/>
      <c r="B178" s="7"/>
      <c r="C178" s="7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7"/>
      <c r="B179" s="7"/>
      <c r="C179" s="7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7"/>
      <c r="B180" s="7"/>
      <c r="C180" s="7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7"/>
      <c r="B181" s="7"/>
      <c r="C181" s="7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7"/>
      <c r="B182" s="7"/>
      <c r="C182" s="7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7"/>
      <c r="B183" s="7"/>
      <c r="C183" s="7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7"/>
      <c r="B184" s="7"/>
      <c r="C184" s="7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7"/>
      <c r="B185" s="7"/>
      <c r="C185" s="7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7"/>
      <c r="B186" s="7"/>
      <c r="C186" s="7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7"/>
      <c r="B187" s="7"/>
      <c r="C187" s="7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7"/>
      <c r="B188" s="7"/>
      <c r="C188" s="7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7"/>
      <c r="B189" s="7"/>
      <c r="C189" s="7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7"/>
      <c r="B190" s="7"/>
      <c r="C190" s="7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7"/>
      <c r="B191" s="7"/>
      <c r="C191" s="7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7"/>
      <c r="B192" s="7"/>
      <c r="C192" s="7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7"/>
      <c r="B193" s="7"/>
      <c r="C193" s="7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7"/>
      <c r="B194" s="7"/>
      <c r="C194" s="7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7"/>
      <c r="B195" s="7"/>
      <c r="C195" s="7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7"/>
      <c r="B196" s="7"/>
      <c r="C196" s="7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7"/>
      <c r="B197" s="7"/>
      <c r="C197" s="7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7"/>
      <c r="B198" s="7"/>
      <c r="C198" s="7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7"/>
      <c r="B199" s="7"/>
      <c r="C199" s="7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7"/>
      <c r="B200" s="7"/>
      <c r="C200" s="7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7"/>
      <c r="B201" s="7"/>
      <c r="C201" s="7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7"/>
      <c r="B202" s="7"/>
      <c r="C202" s="7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7"/>
      <c r="B203" s="7"/>
      <c r="C203" s="7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7"/>
      <c r="B204" s="7"/>
      <c r="C204" s="7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7"/>
      <c r="B205" s="7"/>
      <c r="C205" s="7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7"/>
      <c r="B206" s="7"/>
      <c r="C206" s="7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7"/>
      <c r="B207" s="7"/>
      <c r="C207" s="7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7"/>
      <c r="B208" s="7"/>
      <c r="C208" s="7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7"/>
      <c r="B209" s="7"/>
      <c r="C209" s="7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7"/>
      <c r="B210" s="7"/>
      <c r="C210" s="7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7"/>
      <c r="B211" s="7"/>
      <c r="C211" s="7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7"/>
      <c r="B212" s="7"/>
      <c r="C212" s="7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7"/>
      <c r="B213" s="7"/>
      <c r="C213" s="7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7"/>
      <c r="B214" s="7"/>
      <c r="C214" s="7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7"/>
      <c r="B215" s="7"/>
      <c r="C215" s="7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7"/>
      <c r="B216" s="7"/>
      <c r="C216" s="7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7"/>
      <c r="B217" s="7"/>
      <c r="C217" s="7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7"/>
      <c r="B218" s="7"/>
      <c r="C218" s="7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7"/>
      <c r="B219" s="7"/>
      <c r="C219" s="7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7"/>
      <c r="B220" s="7"/>
      <c r="C220" s="7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7"/>
      <c r="B221" s="7"/>
      <c r="C221" s="7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7"/>
      <c r="B222" s="7"/>
      <c r="C222" s="7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7"/>
      <c r="B223" s="7"/>
      <c r="C223" s="7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7"/>
      <c r="B224" s="7"/>
      <c r="C224" s="7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7"/>
      <c r="B225" s="7"/>
      <c r="C225" s="7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7"/>
      <c r="B226" s="7"/>
      <c r="C226" s="7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7"/>
      <c r="B227" s="7"/>
      <c r="C227" s="7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7"/>
      <c r="B228" s="7"/>
      <c r="C228" s="7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7"/>
      <c r="B229" s="7"/>
      <c r="C229" s="7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7"/>
      <c r="B230" s="7"/>
      <c r="C230" s="7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7"/>
      <c r="B231" s="7"/>
      <c r="C231" s="7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7"/>
      <c r="B232" s="7"/>
      <c r="C232" s="7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7"/>
      <c r="B233" s="7"/>
      <c r="C233" s="7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7"/>
      <c r="B234" s="7"/>
      <c r="C234" s="7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7"/>
      <c r="B235" s="7"/>
      <c r="C235" s="7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7"/>
      <c r="B236" s="7"/>
      <c r="C236" s="7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7"/>
      <c r="B237" s="7"/>
      <c r="C237" s="7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7"/>
      <c r="B238" s="7"/>
      <c r="C238" s="7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7"/>
      <c r="B239" s="7"/>
      <c r="C239" s="7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7"/>
      <c r="B240" s="7"/>
      <c r="C240" s="7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7"/>
      <c r="B241" s="7"/>
      <c r="C241" s="7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7"/>
      <c r="B242" s="7"/>
      <c r="C242" s="7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7"/>
      <c r="B243" s="7"/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7"/>
      <c r="B244" s="7"/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7"/>
      <c r="B245" s="7"/>
      <c r="C245" s="7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7"/>
      <c r="B246" s="7"/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7"/>
      <c r="B247" s="7"/>
      <c r="C247" s="7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7"/>
      <c r="B248" s="7"/>
      <c r="C248" s="7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7"/>
      <c r="B249" s="7"/>
      <c r="C249" s="7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7"/>
      <c r="B250" s="7"/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7"/>
      <c r="B251" s="7"/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7"/>
      <c r="B252" s="7"/>
      <c r="C252" s="7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7"/>
      <c r="B253" s="7"/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7"/>
      <c r="B254" s="7"/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7"/>
      <c r="B255" s="7"/>
      <c r="C255" s="7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7"/>
      <c r="B256" s="7"/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7"/>
      <c r="B257" s="7"/>
      <c r="C257" s="7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7"/>
      <c r="B258" s="7"/>
      <c r="C258" s="7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7"/>
      <c r="B259" s="7"/>
      <c r="C259" s="7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7"/>
      <c r="B260" s="7"/>
      <c r="C260" s="7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7"/>
      <c r="B261" s="7"/>
      <c r="C261" s="7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7"/>
      <c r="B262" s="7"/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7"/>
      <c r="B263" s="7"/>
      <c r="C263" s="7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7"/>
      <c r="B264" s="7"/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7"/>
      <c r="B265" s="7"/>
      <c r="C265" s="7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7"/>
      <c r="B266" s="7"/>
      <c r="C266" s="7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7"/>
      <c r="B267" s="7"/>
      <c r="C267" s="7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7"/>
      <c r="B268" s="7"/>
      <c r="C268" s="7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7"/>
      <c r="B269" s="7"/>
      <c r="C269" s="7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7"/>
      <c r="B270" s="7"/>
      <c r="C270" s="7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7"/>
      <c r="B271" s="7"/>
      <c r="C271" s="7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7"/>
      <c r="B272" s="7"/>
      <c r="C272" s="7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7"/>
      <c r="B273" s="7"/>
      <c r="C273" s="7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7"/>
      <c r="B274" s="7"/>
      <c r="C274" s="7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7"/>
      <c r="B275" s="7"/>
      <c r="C275" s="7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7"/>
      <c r="B276" s="7"/>
      <c r="C276" s="7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7"/>
      <c r="B277" s="7"/>
      <c r="C277" s="7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7"/>
      <c r="B278" s="7"/>
      <c r="C278" s="7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7"/>
      <c r="B279" s="7"/>
      <c r="C279" s="7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7"/>
      <c r="B280" s="7"/>
      <c r="C280" s="7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7"/>
      <c r="B281" s="7"/>
      <c r="C281" s="7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7"/>
      <c r="B282" s="7"/>
      <c r="C282" s="7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7"/>
      <c r="B283" s="7"/>
      <c r="C283" s="7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7"/>
      <c r="B284" s="7"/>
      <c r="C284" s="7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7"/>
      <c r="B285" s="7"/>
      <c r="C285" s="7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7"/>
      <c r="B286" s="7"/>
      <c r="C286" s="7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7"/>
      <c r="B287" s="7"/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7"/>
      <c r="B288" s="7"/>
      <c r="C288" s="7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7"/>
      <c r="B289" s="7"/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7"/>
      <c r="B290" s="7"/>
      <c r="C290" s="7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7"/>
      <c r="B291" s="7"/>
      <c r="C291" s="7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7"/>
      <c r="B292" s="7"/>
      <c r="C292" s="7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7"/>
      <c r="B293" s="7"/>
      <c r="C293" s="7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7"/>
      <c r="B294" s="7"/>
      <c r="C294" s="7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7"/>
      <c r="B295" s="7"/>
      <c r="C295" s="7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7"/>
      <c r="B296" s="7"/>
      <c r="C296" s="7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7"/>
      <c r="B297" s="7"/>
      <c r="C297" s="7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7"/>
      <c r="B298" s="7"/>
      <c r="C298" s="7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7"/>
      <c r="B299" s="7"/>
      <c r="C299" s="7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7"/>
      <c r="B300" s="7"/>
      <c r="C300" s="7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7"/>
      <c r="B301" s="7"/>
      <c r="C301" s="7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7"/>
      <c r="B302" s="7"/>
      <c r="C302" s="7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7"/>
      <c r="B303" s="7"/>
      <c r="C303" s="7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7"/>
      <c r="B304" s="7"/>
      <c r="C304" s="7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7"/>
      <c r="B305" s="7"/>
      <c r="C305" s="7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7"/>
      <c r="B306" s="7"/>
      <c r="C306" s="7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7"/>
      <c r="B307" s="7"/>
      <c r="C307" s="7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7"/>
      <c r="B308" s="7"/>
      <c r="C308" s="7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7"/>
      <c r="B309" s="7"/>
      <c r="C309" s="7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7"/>
      <c r="B310" s="7"/>
      <c r="C310" s="7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7"/>
      <c r="B311" s="7"/>
      <c r="C311" s="7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7"/>
      <c r="B312" s="7"/>
      <c r="C312" s="7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7"/>
      <c r="B313" s="7"/>
      <c r="C313" s="7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7"/>
      <c r="B314" s="7"/>
      <c r="C314" s="7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7"/>
      <c r="B315" s="7"/>
      <c r="C315" s="7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7"/>
      <c r="B316" s="7"/>
      <c r="C316" s="7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7"/>
      <c r="B317" s="7"/>
      <c r="C317" s="7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7"/>
      <c r="B318" s="7"/>
      <c r="C318" s="7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7"/>
      <c r="B319" s="7"/>
      <c r="C319" s="7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7"/>
      <c r="B320" s="7"/>
      <c r="C320" s="7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7"/>
      <c r="B321" s="7"/>
      <c r="C321" s="7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7"/>
      <c r="B322" s="7"/>
      <c r="C322" s="7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7"/>
      <c r="B323" s="7"/>
      <c r="C323" s="7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7"/>
      <c r="B324" s="7"/>
      <c r="C324" s="7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7"/>
      <c r="B325" s="7"/>
      <c r="C325" s="7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7"/>
      <c r="B326" s="7"/>
      <c r="C326" s="7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7"/>
      <c r="B327" s="7"/>
      <c r="C327" s="7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7"/>
      <c r="B328" s="7"/>
      <c r="C328" s="7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7"/>
      <c r="B329" s="7"/>
      <c r="C329" s="7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7"/>
      <c r="B330" s="7"/>
      <c r="C330" s="7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7"/>
      <c r="B331" s="7"/>
      <c r="C331" s="7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7"/>
      <c r="B332" s="7"/>
      <c r="C332" s="7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7"/>
      <c r="B333" s="7"/>
      <c r="C333" s="7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7"/>
      <c r="B334" s="7"/>
      <c r="C334" s="7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7"/>
      <c r="B335" s="7"/>
      <c r="C335" s="7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7"/>
      <c r="B336" s="7"/>
      <c r="C336" s="7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7"/>
      <c r="B337" s="7"/>
      <c r="C337" s="7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7"/>
      <c r="B338" s="7"/>
      <c r="C338" s="7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7"/>
      <c r="B339" s="7"/>
      <c r="C339" s="7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7"/>
      <c r="B340" s="7"/>
      <c r="C340" s="7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7"/>
      <c r="B341" s="7"/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7"/>
      <c r="B342" s="7"/>
      <c r="C342" s="7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7"/>
      <c r="B343" s="7"/>
      <c r="C343" s="7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7"/>
      <c r="B344" s="7"/>
      <c r="C344" s="7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7"/>
      <c r="B345" s="7"/>
      <c r="C345" s="7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7"/>
      <c r="B346" s="7"/>
      <c r="C346" s="7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7"/>
      <c r="B347" s="7"/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7"/>
      <c r="B348" s="7"/>
      <c r="C348" s="7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7"/>
      <c r="B349" s="7"/>
      <c r="C349" s="7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7"/>
      <c r="B350" s="7"/>
      <c r="C350" s="7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7"/>
      <c r="B351" s="7"/>
      <c r="C351" s="7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7"/>
      <c r="B352" s="7"/>
      <c r="C352" s="7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7"/>
      <c r="B353" s="7"/>
      <c r="C353" s="7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7"/>
      <c r="B354" s="7"/>
      <c r="C354" s="7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7"/>
      <c r="B355" s="7"/>
      <c r="C355" s="7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7"/>
      <c r="B356" s="7"/>
      <c r="C356" s="7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7"/>
      <c r="B357" s="7"/>
      <c r="C357" s="7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7"/>
      <c r="B358" s="7"/>
      <c r="C358" s="7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7"/>
      <c r="B359" s="7"/>
      <c r="C359" s="7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7"/>
      <c r="B360" s="7"/>
      <c r="C360" s="7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7"/>
      <c r="B361" s="7"/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7"/>
      <c r="B362" s="7"/>
      <c r="C362" s="7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7"/>
      <c r="B363" s="7"/>
      <c r="C363" s="7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7"/>
      <c r="B364" s="7"/>
      <c r="C364" s="7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7"/>
      <c r="B365" s="7"/>
      <c r="C365" s="7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7"/>
      <c r="B366" s="7"/>
      <c r="C366" s="7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7"/>
      <c r="B367" s="7"/>
      <c r="C367" s="7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7"/>
      <c r="B368" s="7"/>
      <c r="C368" s="7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7"/>
      <c r="B369" s="7"/>
      <c r="C369" s="7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7"/>
      <c r="B370" s="7"/>
      <c r="C370" s="7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7"/>
      <c r="B371" s="7"/>
      <c r="C371" s="7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7"/>
      <c r="B372" s="7"/>
      <c r="C372" s="7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7"/>
      <c r="B373" s="7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7"/>
      <c r="B374" s="7"/>
      <c r="C374" s="7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7"/>
      <c r="B375" s="7"/>
      <c r="C375" s="7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7"/>
      <c r="B376" s="7"/>
      <c r="C376" s="7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7"/>
      <c r="B377" s="7"/>
      <c r="C377" s="7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7"/>
      <c r="B378" s="7"/>
      <c r="C378" s="7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7"/>
      <c r="B379" s="7"/>
      <c r="C379" s="7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7"/>
      <c r="B380" s="7"/>
      <c r="C380" s="7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7"/>
      <c r="B381" s="7"/>
      <c r="C381" s="7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7"/>
      <c r="B382" s="7"/>
      <c r="C382" s="7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7"/>
      <c r="B383" s="7"/>
      <c r="C383" s="7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7"/>
      <c r="B384" s="7"/>
      <c r="C384" s="7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7"/>
      <c r="B385" s="7"/>
      <c r="C385" s="7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7"/>
      <c r="B386" s="7"/>
      <c r="C386" s="7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7"/>
      <c r="B387" s="7"/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7"/>
      <c r="B388" s="7"/>
      <c r="C388" s="7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7"/>
      <c r="B389" s="7"/>
      <c r="C389" s="7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7"/>
      <c r="B390" s="7"/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7"/>
      <c r="B391" s="7"/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7"/>
      <c r="B392" s="7"/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7"/>
      <c r="B393" s="7"/>
      <c r="C393" s="7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7"/>
      <c r="B394" s="7"/>
      <c r="C394" s="7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7"/>
      <c r="B395" s="7"/>
      <c r="C395" s="7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7"/>
      <c r="B396" s="7"/>
      <c r="C396" s="7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7"/>
      <c r="B397" s="7"/>
      <c r="C397" s="7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7"/>
      <c r="B398" s="7"/>
      <c r="C398" s="7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7"/>
      <c r="B399" s="7"/>
      <c r="C399" s="7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7"/>
      <c r="B400" s="7"/>
      <c r="C400" s="7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7"/>
      <c r="B401" s="7"/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7"/>
      <c r="B402" s="7"/>
      <c r="C402" s="7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7"/>
      <c r="B403" s="7"/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7"/>
      <c r="B404" s="7"/>
      <c r="C404" s="7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7"/>
      <c r="B405" s="7"/>
      <c r="C405" s="7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7"/>
      <c r="B406" s="7"/>
      <c r="C406" s="7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7"/>
      <c r="B407" s="7"/>
      <c r="C407" s="7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7"/>
      <c r="B408" s="7"/>
      <c r="C408" s="7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7"/>
      <c r="B409" s="7"/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7"/>
      <c r="B410" s="7"/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7"/>
      <c r="B411" s="7"/>
      <c r="C411" s="7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7"/>
      <c r="B412" s="7"/>
      <c r="C412" s="7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7"/>
      <c r="B413" s="7"/>
      <c r="C413" s="7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7"/>
      <c r="B414" s="7"/>
      <c r="C414" s="7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7"/>
      <c r="B415" s="7"/>
      <c r="C415" s="7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7"/>
      <c r="B416" s="7"/>
      <c r="C416" s="7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7"/>
      <c r="B417" s="7"/>
      <c r="C417" s="7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7"/>
      <c r="B418" s="7"/>
      <c r="C418" s="7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7"/>
      <c r="B419" s="7"/>
      <c r="C419" s="7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7"/>
      <c r="B420" s="7"/>
      <c r="C420" s="7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7"/>
      <c r="B421" s="7"/>
      <c r="C421" s="7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7"/>
      <c r="B422" s="7"/>
      <c r="C422" s="7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7"/>
      <c r="B423" s="7"/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7"/>
      <c r="B424" s="7"/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7"/>
      <c r="B425" s="7"/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7"/>
      <c r="B426" s="7"/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7"/>
      <c r="B427" s="7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7"/>
      <c r="B428" s="7"/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7"/>
      <c r="B429" s="7"/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7"/>
      <c r="B430" s="7"/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7"/>
      <c r="B431" s="7"/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7"/>
      <c r="B432" s="7"/>
      <c r="C432" s="7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7"/>
      <c r="B433" s="7"/>
      <c r="C433" s="7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7"/>
      <c r="B434" s="7"/>
      <c r="C434" s="7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7"/>
      <c r="B435" s="7"/>
      <c r="C435" s="7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7"/>
      <c r="B436" s="7"/>
      <c r="C436" s="7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7"/>
      <c r="B437" s="7"/>
      <c r="C437" s="7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7"/>
      <c r="B438" s="7"/>
      <c r="C438" s="7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7"/>
      <c r="B439" s="7"/>
      <c r="C439" s="7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7"/>
      <c r="B440" s="7"/>
      <c r="C440" s="7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7"/>
      <c r="B441" s="7"/>
      <c r="C441" s="7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7"/>
      <c r="B442" s="7"/>
      <c r="C442" s="7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7"/>
      <c r="B443" s="7"/>
      <c r="C443" s="7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7"/>
      <c r="B444" s="7"/>
      <c r="C444" s="7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7"/>
      <c r="B445" s="7"/>
      <c r="C445" s="7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7"/>
      <c r="B446" s="7"/>
      <c r="C446" s="7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7"/>
      <c r="B447" s="7"/>
      <c r="C447" s="7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7"/>
      <c r="B448" s="7"/>
      <c r="C448" s="7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7"/>
      <c r="B449" s="7"/>
      <c r="C449" s="7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7"/>
      <c r="B450" s="7"/>
      <c r="C450" s="7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7"/>
      <c r="B451" s="7"/>
      <c r="C451" s="7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7"/>
      <c r="B452" s="7"/>
      <c r="C452" s="7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7"/>
      <c r="B453" s="7"/>
      <c r="C453" s="7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7"/>
      <c r="B454" s="7"/>
      <c r="C454" s="7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7"/>
      <c r="B455" s="7"/>
      <c r="C455" s="7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7"/>
      <c r="B456" s="7"/>
      <c r="C456" s="7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7"/>
      <c r="B457" s="7"/>
      <c r="C457" s="7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7"/>
      <c r="B458" s="7"/>
      <c r="C458" s="7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7"/>
      <c r="B459" s="7"/>
      <c r="C459" s="7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7"/>
      <c r="B460" s="7"/>
      <c r="C460" s="7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7"/>
      <c r="B461" s="7"/>
      <c r="C461" s="7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7"/>
      <c r="B462" s="7"/>
      <c r="C462" s="7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7"/>
      <c r="B463" s="7"/>
      <c r="C463" s="7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7"/>
      <c r="B464" s="7"/>
      <c r="C464" s="7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7"/>
      <c r="B465" s="7"/>
      <c r="C465" s="7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7"/>
      <c r="B466" s="7"/>
      <c r="C466" s="7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7"/>
      <c r="B467" s="7"/>
      <c r="C467" s="7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7"/>
      <c r="B468" s="7"/>
      <c r="C468" s="7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7"/>
      <c r="B469" s="7"/>
      <c r="C469" s="7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7"/>
      <c r="B470" s="7"/>
      <c r="C470" s="7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7"/>
      <c r="B471" s="7"/>
      <c r="C471" s="7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7"/>
      <c r="B472" s="7"/>
      <c r="C472" s="7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7"/>
      <c r="B473" s="7"/>
      <c r="C473" s="7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7"/>
      <c r="B474" s="7"/>
      <c r="C474" s="7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7"/>
      <c r="B475" s="7"/>
      <c r="C475" s="7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7"/>
      <c r="B476" s="7"/>
      <c r="C476" s="7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7"/>
      <c r="B477" s="7"/>
      <c r="C477" s="7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7"/>
      <c r="B478" s="7"/>
      <c r="C478" s="7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7"/>
      <c r="B479" s="7"/>
      <c r="C479" s="7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7"/>
      <c r="B480" s="7"/>
      <c r="C480" s="7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7"/>
      <c r="B481" s="7"/>
      <c r="C481" s="7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7"/>
      <c r="B482" s="7"/>
      <c r="C482" s="7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7"/>
      <c r="B483" s="7"/>
      <c r="C483" s="7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7"/>
      <c r="B484" s="7"/>
      <c r="C484" s="7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7"/>
      <c r="B485" s="7"/>
      <c r="C485" s="7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7"/>
      <c r="B486" s="7"/>
      <c r="C486" s="7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7"/>
      <c r="B487" s="7"/>
      <c r="C487" s="7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7"/>
      <c r="B488" s="7"/>
      <c r="C488" s="7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7"/>
      <c r="B489" s="7"/>
      <c r="C489" s="7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7"/>
      <c r="B490" s="7"/>
      <c r="C490" s="7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7"/>
      <c r="B491" s="7"/>
      <c r="C491" s="7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7"/>
      <c r="B492" s="7"/>
      <c r="C492" s="7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7"/>
      <c r="B493" s="7"/>
      <c r="C493" s="7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7"/>
      <c r="B494" s="7"/>
      <c r="C494" s="7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7"/>
      <c r="B495" s="7"/>
      <c r="C495" s="7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7"/>
      <c r="B496" s="7"/>
      <c r="C496" s="7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7"/>
      <c r="B497" s="7"/>
      <c r="C497" s="7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7"/>
      <c r="B498" s="7"/>
      <c r="C498" s="7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7"/>
      <c r="B499" s="7"/>
      <c r="C499" s="7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7"/>
      <c r="B500" s="7"/>
      <c r="C500" s="7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7"/>
      <c r="B501" s="7"/>
      <c r="C501" s="7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7"/>
      <c r="B502" s="7"/>
      <c r="C502" s="7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7"/>
      <c r="B503" s="7"/>
      <c r="C503" s="7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7"/>
      <c r="B504" s="7"/>
      <c r="C504" s="7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7"/>
      <c r="B505" s="7"/>
      <c r="C505" s="7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7"/>
      <c r="B506" s="7"/>
      <c r="C506" s="7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7"/>
      <c r="B507" s="7"/>
      <c r="C507" s="7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7"/>
      <c r="B508" s="7"/>
      <c r="C508" s="7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7"/>
      <c r="B509" s="7"/>
      <c r="C509" s="7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7"/>
      <c r="B510" s="7"/>
      <c r="C510" s="7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7"/>
      <c r="B511" s="7"/>
      <c r="C511" s="7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7"/>
      <c r="B512" s="7"/>
      <c r="C512" s="7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7"/>
      <c r="B513" s="7"/>
      <c r="C513" s="7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7"/>
      <c r="B514" s="7"/>
      <c r="C514" s="7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7"/>
      <c r="B515" s="7"/>
      <c r="C515" s="7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7"/>
      <c r="B516" s="7"/>
      <c r="C516" s="7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7"/>
      <c r="B517" s="7"/>
      <c r="C517" s="7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7"/>
      <c r="B518" s="7"/>
      <c r="C518" s="7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7"/>
      <c r="B519" s="7"/>
      <c r="C519" s="7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7"/>
      <c r="B520" s="7"/>
      <c r="C520" s="7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7"/>
      <c r="B521" s="7"/>
      <c r="C521" s="7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7"/>
      <c r="B522" s="7"/>
      <c r="C522" s="7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7"/>
      <c r="B523" s="7"/>
      <c r="C523" s="7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7"/>
      <c r="B524" s="7"/>
      <c r="C524" s="7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7"/>
      <c r="B525" s="7"/>
      <c r="C525" s="7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7"/>
      <c r="B526" s="7"/>
      <c r="C526" s="7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7"/>
      <c r="B527" s="7"/>
      <c r="C527" s="7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7"/>
      <c r="B528" s="7"/>
      <c r="C528" s="7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7"/>
      <c r="B529" s="7"/>
      <c r="C529" s="7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7"/>
      <c r="B530" s="7"/>
      <c r="C530" s="7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7"/>
      <c r="B531" s="7"/>
      <c r="C531" s="7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7"/>
      <c r="B532" s="7"/>
      <c r="C532" s="7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7"/>
      <c r="B533" s="7"/>
      <c r="C533" s="7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7"/>
      <c r="B534" s="7"/>
      <c r="C534" s="7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7"/>
      <c r="B535" s="7"/>
      <c r="C535" s="7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7"/>
      <c r="B536" s="7"/>
      <c r="C536" s="7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7"/>
      <c r="B537" s="7"/>
      <c r="C537" s="7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7"/>
      <c r="B538" s="7"/>
      <c r="C538" s="7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7"/>
      <c r="B539" s="7"/>
      <c r="C539" s="7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7"/>
      <c r="B540" s="7"/>
      <c r="C540" s="7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7"/>
      <c r="B541" s="7"/>
      <c r="C541" s="7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7"/>
      <c r="B542" s="7"/>
      <c r="C542" s="7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7"/>
      <c r="B543" s="7"/>
      <c r="C543" s="7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7"/>
      <c r="B544" s="7"/>
      <c r="C544" s="7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7"/>
      <c r="B545" s="7"/>
      <c r="C545" s="7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7"/>
      <c r="B546" s="7"/>
      <c r="C546" s="7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7"/>
      <c r="B547" s="7"/>
      <c r="C547" s="7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7"/>
      <c r="B548" s="7"/>
      <c r="C548" s="7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7"/>
      <c r="B549" s="7"/>
      <c r="C549" s="7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7"/>
      <c r="B550" s="7"/>
      <c r="C550" s="7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7"/>
      <c r="B551" s="7"/>
      <c r="C551" s="7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7"/>
      <c r="B552" s="7"/>
      <c r="C552" s="7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7"/>
      <c r="B553" s="7"/>
      <c r="C553" s="7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7"/>
      <c r="B554" s="7"/>
      <c r="C554" s="7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7"/>
      <c r="B555" s="7"/>
      <c r="C555" s="7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7"/>
      <c r="B556" s="7"/>
      <c r="C556" s="7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7"/>
      <c r="B557" s="7"/>
      <c r="C557" s="7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7"/>
      <c r="B558" s="7"/>
      <c r="C558" s="7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7"/>
      <c r="B559" s="7"/>
      <c r="C559" s="7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7"/>
      <c r="B560" s="7"/>
      <c r="C560" s="7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7"/>
      <c r="B561" s="7"/>
      <c r="C561" s="7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7"/>
      <c r="B562" s="7"/>
      <c r="C562" s="7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7"/>
      <c r="B563" s="7"/>
      <c r="C563" s="7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7"/>
      <c r="B564" s="7"/>
      <c r="C564" s="7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7"/>
      <c r="B565" s="7"/>
      <c r="C565" s="7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7"/>
      <c r="B566" s="7"/>
      <c r="C566" s="7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7"/>
      <c r="B567" s="7"/>
      <c r="C567" s="7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7"/>
      <c r="B568" s="7"/>
      <c r="C568" s="7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7"/>
      <c r="B569" s="7"/>
      <c r="C569" s="7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7"/>
      <c r="B570" s="7"/>
      <c r="C570" s="7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7"/>
      <c r="B571" s="7"/>
      <c r="C571" s="7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7"/>
      <c r="B572" s="7"/>
      <c r="C572" s="7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7"/>
      <c r="B573" s="7"/>
      <c r="C573" s="7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7"/>
      <c r="B574" s="7"/>
      <c r="C574" s="7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7"/>
      <c r="B575" s="7"/>
      <c r="C575" s="7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7"/>
      <c r="B576" s="7"/>
      <c r="C576" s="7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7"/>
      <c r="B577" s="7"/>
      <c r="C577" s="7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7"/>
      <c r="B578" s="7"/>
      <c r="C578" s="7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7"/>
      <c r="B579" s="7"/>
      <c r="C579" s="7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7"/>
      <c r="B580" s="7"/>
      <c r="C580" s="7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7"/>
      <c r="B581" s="7"/>
      <c r="C581" s="7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7"/>
      <c r="B582" s="7"/>
      <c r="C582" s="7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7"/>
      <c r="B583" s="7"/>
      <c r="C583" s="7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7"/>
      <c r="B584" s="7"/>
      <c r="C584" s="7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7"/>
      <c r="B585" s="7"/>
      <c r="C585" s="7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7"/>
      <c r="B586" s="7"/>
      <c r="C586" s="7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7"/>
      <c r="B587" s="7"/>
      <c r="C587" s="7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7"/>
      <c r="B588" s="7"/>
      <c r="C588" s="7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7"/>
      <c r="B589" s="7"/>
      <c r="C589" s="7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7"/>
      <c r="B590" s="7"/>
      <c r="C590" s="7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7"/>
      <c r="B591" s="7"/>
      <c r="C591" s="7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7"/>
      <c r="B592" s="7"/>
      <c r="C592" s="7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7"/>
      <c r="B593" s="7"/>
      <c r="C593" s="7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7"/>
      <c r="B594" s="7"/>
      <c r="C594" s="7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7"/>
      <c r="B595" s="7"/>
      <c r="C595" s="7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7"/>
      <c r="B596" s="7"/>
      <c r="C596" s="7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7"/>
      <c r="B597" s="7"/>
      <c r="C597" s="7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7"/>
      <c r="B598" s="7"/>
      <c r="C598" s="7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7"/>
      <c r="B599" s="7"/>
      <c r="C599" s="7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7"/>
      <c r="B600" s="7"/>
      <c r="C600" s="7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7"/>
      <c r="B601" s="7"/>
      <c r="C601" s="7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7"/>
      <c r="B602" s="7"/>
      <c r="C602" s="7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7"/>
      <c r="B603" s="7"/>
      <c r="C603" s="7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7"/>
      <c r="B604" s="7"/>
      <c r="C604" s="7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7"/>
      <c r="B605" s="7"/>
      <c r="C605" s="7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7"/>
      <c r="B606" s="7"/>
      <c r="C606" s="7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7"/>
      <c r="B607" s="7"/>
      <c r="C607" s="7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7"/>
      <c r="B608" s="7"/>
      <c r="C608" s="7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7"/>
      <c r="B609" s="7"/>
      <c r="C609" s="7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7"/>
      <c r="B610" s="7"/>
      <c r="C610" s="7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7"/>
      <c r="B611" s="7"/>
      <c r="C611" s="7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7"/>
      <c r="B612" s="7"/>
      <c r="C612" s="7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7"/>
      <c r="B613" s="7"/>
      <c r="C613" s="7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7"/>
      <c r="B614" s="7"/>
      <c r="C614" s="7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7"/>
      <c r="B615" s="7"/>
      <c r="C615" s="7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7"/>
      <c r="B616" s="7"/>
      <c r="C616" s="7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7"/>
      <c r="B617" s="7"/>
      <c r="C617" s="7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7"/>
      <c r="B618" s="7"/>
      <c r="C618" s="7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7"/>
      <c r="B619" s="7"/>
      <c r="C619" s="7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7"/>
      <c r="B620" s="7"/>
      <c r="C620" s="7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7"/>
      <c r="B621" s="7"/>
      <c r="C621" s="7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7"/>
      <c r="B622" s="7"/>
      <c r="C622" s="7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7"/>
      <c r="B623" s="7"/>
      <c r="C623" s="7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7"/>
      <c r="B624" s="7"/>
      <c r="C624" s="7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7"/>
      <c r="B625" s="7"/>
      <c r="C625" s="7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7"/>
      <c r="B626" s="7"/>
      <c r="C626" s="7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7"/>
      <c r="B627" s="7"/>
      <c r="C627" s="7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7"/>
      <c r="B628" s="7"/>
      <c r="C628" s="7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7"/>
      <c r="B629" s="7"/>
      <c r="C629" s="7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7"/>
      <c r="B630" s="7"/>
      <c r="C630" s="7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7"/>
      <c r="B631" s="7"/>
      <c r="C631" s="7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7"/>
      <c r="B632" s="7"/>
      <c r="C632" s="7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7"/>
      <c r="B633" s="7"/>
      <c r="C633" s="7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7"/>
      <c r="B634" s="7"/>
      <c r="C634" s="7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7"/>
      <c r="B635" s="7"/>
      <c r="C635" s="7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7"/>
      <c r="B636" s="7"/>
      <c r="C636" s="7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7"/>
      <c r="B637" s="7"/>
      <c r="C637" s="7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7"/>
      <c r="B638" s="7"/>
      <c r="C638" s="7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7"/>
      <c r="B639" s="7"/>
      <c r="C639" s="7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7"/>
      <c r="B640" s="7"/>
      <c r="C640" s="7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7"/>
      <c r="B641" s="7"/>
      <c r="C641" s="7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7"/>
      <c r="B642" s="7"/>
      <c r="C642" s="7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7"/>
      <c r="B643" s="7"/>
      <c r="C643" s="7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7"/>
      <c r="B644" s="7"/>
      <c r="C644" s="7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7"/>
      <c r="B645" s="7"/>
      <c r="C645" s="7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7"/>
      <c r="B646" s="7"/>
      <c r="C646" s="7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7"/>
      <c r="B647" s="7"/>
      <c r="C647" s="7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7"/>
      <c r="B648" s="7"/>
      <c r="C648" s="7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7"/>
      <c r="B649" s="7"/>
      <c r="C649" s="7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7"/>
      <c r="B650" s="7"/>
      <c r="C650" s="7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7"/>
      <c r="B651" s="7"/>
      <c r="C651" s="7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7"/>
      <c r="B652" s="7"/>
      <c r="C652" s="7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7"/>
      <c r="B653" s="7"/>
      <c r="C653" s="7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7"/>
      <c r="B654" s="7"/>
      <c r="C654" s="7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7"/>
      <c r="B655" s="7"/>
      <c r="C655" s="7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7"/>
      <c r="B656" s="7"/>
      <c r="C656" s="7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7"/>
      <c r="B657" s="7"/>
      <c r="C657" s="7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7"/>
      <c r="B658" s="7"/>
      <c r="C658" s="7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7"/>
      <c r="B659" s="7"/>
      <c r="C659" s="7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7"/>
      <c r="B660" s="7"/>
      <c r="C660" s="7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7"/>
      <c r="B661" s="7"/>
      <c r="C661" s="7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7"/>
      <c r="B662" s="7"/>
      <c r="C662" s="7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7"/>
      <c r="B663" s="7"/>
      <c r="C663" s="7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7"/>
      <c r="B664" s="7"/>
      <c r="C664" s="7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7"/>
      <c r="B665" s="7"/>
      <c r="C665" s="7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7"/>
      <c r="B666" s="7"/>
      <c r="C666" s="7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7"/>
      <c r="B667" s="7"/>
      <c r="C667" s="7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7"/>
      <c r="B668" s="7"/>
      <c r="C668" s="7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7"/>
      <c r="B669" s="7"/>
      <c r="C669" s="7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7"/>
      <c r="B670" s="7"/>
      <c r="C670" s="7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7"/>
      <c r="B671" s="7"/>
      <c r="C671" s="7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7"/>
      <c r="B672" s="7"/>
      <c r="C672" s="7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7"/>
      <c r="B673" s="7"/>
      <c r="C673" s="7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7"/>
      <c r="B674" s="7"/>
      <c r="C674" s="7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7"/>
      <c r="B675" s="7"/>
      <c r="C675" s="7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7"/>
      <c r="B676" s="7"/>
      <c r="C676" s="7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7"/>
      <c r="B677" s="7"/>
      <c r="C677" s="7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7"/>
      <c r="B678" s="7"/>
      <c r="C678" s="7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7"/>
      <c r="B679" s="7"/>
      <c r="C679" s="7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7"/>
      <c r="B680" s="7"/>
      <c r="C680" s="7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7"/>
      <c r="B681" s="7"/>
      <c r="C681" s="7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7"/>
      <c r="B682" s="7"/>
      <c r="C682" s="7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7"/>
      <c r="B683" s="7"/>
      <c r="C683" s="7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7"/>
      <c r="B684" s="7"/>
      <c r="C684" s="7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7"/>
      <c r="B685" s="7"/>
      <c r="C685" s="7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7"/>
      <c r="B686" s="7"/>
      <c r="C686" s="7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7"/>
      <c r="B687" s="7"/>
      <c r="C687" s="7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7"/>
      <c r="B688" s="7"/>
      <c r="C688" s="7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7"/>
      <c r="B689" s="7"/>
      <c r="C689" s="7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7"/>
      <c r="B690" s="7"/>
      <c r="C690" s="7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7"/>
      <c r="B691" s="7"/>
      <c r="C691" s="7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7"/>
      <c r="B692" s="7"/>
      <c r="C692" s="7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7"/>
      <c r="B693" s="7"/>
      <c r="C693" s="7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7"/>
      <c r="B694" s="7"/>
      <c r="C694" s="7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7"/>
      <c r="B695" s="7"/>
      <c r="C695" s="7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7"/>
      <c r="B696" s="7"/>
      <c r="C696" s="7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7"/>
      <c r="B697" s="7"/>
      <c r="C697" s="7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7"/>
      <c r="B698" s="7"/>
      <c r="C698" s="7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7"/>
      <c r="B699" s="7"/>
      <c r="C699" s="7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7"/>
      <c r="B700" s="7"/>
      <c r="C700" s="7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7"/>
      <c r="B701" s="7"/>
      <c r="C701" s="7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7"/>
      <c r="B702" s="7"/>
      <c r="C702" s="7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7"/>
      <c r="B703" s="7"/>
      <c r="C703" s="7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7"/>
      <c r="B704" s="7"/>
      <c r="C704" s="7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7"/>
      <c r="B705" s="7"/>
      <c r="C705" s="7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7"/>
      <c r="B706" s="7"/>
      <c r="C706" s="7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7"/>
      <c r="B707" s="7"/>
      <c r="C707" s="7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7"/>
      <c r="B708" s="7"/>
      <c r="C708" s="7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7"/>
      <c r="B709" s="7"/>
      <c r="C709" s="7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7"/>
      <c r="B710" s="7"/>
      <c r="C710" s="7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7"/>
      <c r="B711" s="7"/>
      <c r="C711" s="7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7"/>
      <c r="B712" s="7"/>
      <c r="C712" s="7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7"/>
      <c r="B713" s="7"/>
      <c r="C713" s="7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7"/>
      <c r="B714" s="7"/>
      <c r="C714" s="7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7"/>
      <c r="B715" s="7"/>
      <c r="C715" s="7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7"/>
      <c r="B716" s="7"/>
      <c r="C716" s="7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7"/>
      <c r="B717" s="7"/>
      <c r="C717" s="7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7"/>
      <c r="B718" s="7"/>
      <c r="C718" s="7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7"/>
      <c r="B719" s="7"/>
      <c r="C719" s="7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7"/>
      <c r="B720" s="7"/>
      <c r="C720" s="7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7"/>
      <c r="B721" s="7"/>
      <c r="C721" s="7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7"/>
      <c r="B722" s="7"/>
      <c r="C722" s="7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7"/>
      <c r="B723" s="7"/>
      <c r="C723" s="7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7"/>
      <c r="B724" s="7"/>
      <c r="C724" s="7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7"/>
      <c r="B725" s="7"/>
      <c r="C725" s="7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7"/>
      <c r="B726" s="7"/>
      <c r="C726" s="7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7"/>
      <c r="B727" s="7"/>
      <c r="C727" s="7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7"/>
      <c r="B728" s="7"/>
      <c r="C728" s="7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7"/>
      <c r="B729" s="7"/>
      <c r="C729" s="7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7"/>
      <c r="B730" s="7"/>
      <c r="C730" s="7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7"/>
      <c r="B731" s="7"/>
      <c r="C731" s="7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7"/>
      <c r="B732" s="7"/>
      <c r="C732" s="7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7"/>
      <c r="B733" s="7"/>
      <c r="C733" s="7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7"/>
      <c r="B734" s="7"/>
      <c r="C734" s="7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7"/>
      <c r="B735" s="7"/>
      <c r="C735" s="7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7"/>
      <c r="B736" s="7"/>
      <c r="C736" s="7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7"/>
      <c r="B737" s="7"/>
      <c r="C737" s="7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7"/>
      <c r="B738" s="7"/>
      <c r="C738" s="7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7"/>
      <c r="B739" s="7"/>
      <c r="C739" s="7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7"/>
      <c r="B740" s="7"/>
      <c r="C740" s="7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7"/>
      <c r="B741" s="7"/>
      <c r="C741" s="7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7"/>
      <c r="B742" s="7"/>
      <c r="C742" s="7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7"/>
      <c r="B743" s="7"/>
      <c r="C743" s="7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7"/>
      <c r="B744" s="7"/>
      <c r="C744" s="7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7"/>
      <c r="B745" s="7"/>
      <c r="C745" s="7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7"/>
      <c r="B746" s="7"/>
      <c r="C746" s="7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7"/>
      <c r="B747" s="7"/>
      <c r="C747" s="7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7"/>
      <c r="B748" s="7"/>
      <c r="C748" s="7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7"/>
      <c r="B749" s="7"/>
      <c r="C749" s="7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7"/>
      <c r="B750" s="7"/>
      <c r="C750" s="7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7"/>
      <c r="B751" s="7"/>
      <c r="C751" s="7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7"/>
      <c r="B752" s="7"/>
      <c r="C752" s="7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7"/>
      <c r="B753" s="7"/>
      <c r="C753" s="7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7"/>
      <c r="B754" s="7"/>
      <c r="C754" s="7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7"/>
      <c r="B755" s="7"/>
      <c r="C755" s="7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7"/>
      <c r="B756" s="7"/>
      <c r="C756" s="7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7"/>
      <c r="B757" s="7"/>
      <c r="C757" s="7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7"/>
      <c r="B758" s="7"/>
      <c r="C758" s="7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7"/>
      <c r="B759" s="7"/>
      <c r="C759" s="7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7"/>
      <c r="B760" s="7"/>
      <c r="C760" s="7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7"/>
      <c r="B761" s="7"/>
      <c r="C761" s="7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7"/>
      <c r="B762" s="7"/>
      <c r="C762" s="7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7"/>
      <c r="B763" s="7"/>
      <c r="C763" s="7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7"/>
      <c r="B764" s="7"/>
      <c r="C764" s="7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7"/>
      <c r="B765" s="7"/>
      <c r="C765" s="7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7"/>
      <c r="B766" s="7"/>
      <c r="C766" s="7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7"/>
      <c r="B767" s="7"/>
      <c r="C767" s="7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7"/>
      <c r="B768" s="7"/>
      <c r="C768" s="7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7"/>
      <c r="B769" s="7"/>
      <c r="C769" s="7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7"/>
      <c r="B770" s="7"/>
      <c r="C770" s="7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7"/>
      <c r="B771" s="7"/>
      <c r="C771" s="7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7"/>
      <c r="B772" s="7"/>
      <c r="C772" s="7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7"/>
      <c r="B773" s="7"/>
      <c r="C773" s="7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7"/>
      <c r="B774" s="7"/>
      <c r="C774" s="7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7"/>
      <c r="B775" s="7"/>
      <c r="C775" s="7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7"/>
      <c r="B776" s="7"/>
      <c r="C776" s="7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7"/>
      <c r="B777" s="7"/>
      <c r="C777" s="7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7"/>
      <c r="B778" s="7"/>
      <c r="C778" s="7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7"/>
      <c r="B779" s="7"/>
      <c r="C779" s="7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7"/>
      <c r="B780" s="7"/>
      <c r="C780" s="7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7"/>
      <c r="B781" s="7"/>
      <c r="C781" s="7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7"/>
      <c r="B782" s="7"/>
      <c r="C782" s="7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7"/>
      <c r="B783" s="7"/>
      <c r="C783" s="7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7"/>
      <c r="B784" s="7"/>
      <c r="C784" s="7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7"/>
      <c r="B785" s="7"/>
      <c r="C785" s="7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7"/>
      <c r="B786" s="7"/>
      <c r="C786" s="7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7"/>
      <c r="B787" s="7"/>
      <c r="C787" s="7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7"/>
      <c r="B788" s="7"/>
      <c r="C788" s="7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7"/>
      <c r="B789" s="7"/>
      <c r="C789" s="7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7"/>
      <c r="B790" s="7"/>
      <c r="C790" s="7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7"/>
      <c r="B791" s="7"/>
      <c r="C791" s="7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7"/>
      <c r="B792" s="7"/>
      <c r="C792" s="7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7"/>
      <c r="B793" s="7"/>
      <c r="C793" s="7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7"/>
      <c r="B794" s="7"/>
      <c r="C794" s="7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7"/>
      <c r="B795" s="7"/>
      <c r="C795" s="7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7"/>
      <c r="B796" s="7"/>
      <c r="C796" s="7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7"/>
      <c r="B797" s="7"/>
      <c r="C797" s="7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7"/>
      <c r="B798" s="7"/>
      <c r="C798" s="7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7"/>
      <c r="B799" s="7"/>
      <c r="C799" s="7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7"/>
      <c r="B800" s="7"/>
      <c r="C800" s="7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7"/>
      <c r="B801" s="7"/>
      <c r="C801" s="7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7"/>
      <c r="B802" s="7"/>
      <c r="C802" s="7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7"/>
      <c r="B803" s="7"/>
      <c r="C803" s="7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7"/>
      <c r="B804" s="7"/>
      <c r="C804" s="7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7"/>
      <c r="B805" s="7"/>
      <c r="C805" s="7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7"/>
      <c r="B806" s="7"/>
      <c r="C806" s="7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7"/>
      <c r="B807" s="7"/>
      <c r="C807" s="7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7"/>
      <c r="B808" s="7"/>
      <c r="C808" s="7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7"/>
      <c r="B809" s="7"/>
      <c r="C809" s="7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7"/>
      <c r="B810" s="7"/>
      <c r="C810" s="7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7"/>
      <c r="B811" s="7"/>
      <c r="C811" s="7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7"/>
      <c r="B812" s="7"/>
      <c r="C812" s="7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7"/>
      <c r="B813" s="7"/>
      <c r="C813" s="7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7"/>
      <c r="B814" s="7"/>
      <c r="C814" s="7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7"/>
      <c r="B815" s="7"/>
      <c r="C815" s="7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7"/>
      <c r="B816" s="7"/>
      <c r="C816" s="7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7"/>
      <c r="B817" s="7"/>
      <c r="C817" s="7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7"/>
      <c r="B818" s="7"/>
      <c r="C818" s="7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7"/>
      <c r="B819" s="7"/>
      <c r="C819" s="7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7"/>
      <c r="B820" s="7"/>
      <c r="C820" s="7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7"/>
      <c r="B821" s="7"/>
      <c r="C821" s="7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7"/>
      <c r="B822" s="7"/>
      <c r="C822" s="7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7"/>
      <c r="B823" s="7"/>
      <c r="C823" s="7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7"/>
      <c r="B824" s="7"/>
      <c r="C824" s="7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7"/>
      <c r="B825" s="7"/>
      <c r="C825" s="7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7"/>
      <c r="B826" s="7"/>
      <c r="C826" s="7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7"/>
      <c r="B827" s="7"/>
      <c r="C827" s="7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7"/>
      <c r="B828" s="7"/>
      <c r="C828" s="7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7"/>
      <c r="B829" s="7"/>
      <c r="C829" s="7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7"/>
      <c r="B830" s="7"/>
      <c r="C830" s="7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7"/>
      <c r="B831" s="7"/>
      <c r="C831" s="7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7"/>
      <c r="B832" s="7"/>
      <c r="C832" s="7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7"/>
      <c r="B833" s="7"/>
      <c r="C833" s="7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7"/>
      <c r="B834" s="7"/>
      <c r="C834" s="7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7"/>
      <c r="B835" s="7"/>
      <c r="C835" s="7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7"/>
      <c r="B836" s="7"/>
      <c r="C836" s="7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7"/>
      <c r="B837" s="7"/>
      <c r="C837" s="7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7"/>
      <c r="B838" s="7"/>
      <c r="C838" s="7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7"/>
      <c r="B839" s="7"/>
      <c r="C839" s="7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7"/>
      <c r="B840" s="7"/>
      <c r="C840" s="7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7"/>
      <c r="B841" s="7"/>
      <c r="C841" s="7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7"/>
      <c r="B842" s="7"/>
      <c r="C842" s="7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7"/>
      <c r="B843" s="7"/>
      <c r="C843" s="7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7"/>
      <c r="B844" s="7"/>
      <c r="C844" s="7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7"/>
      <c r="B845" s="7"/>
      <c r="C845" s="7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7"/>
      <c r="B846" s="7"/>
      <c r="C846" s="7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7"/>
      <c r="B847" s="7"/>
      <c r="C847" s="7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7"/>
      <c r="B848" s="7"/>
      <c r="C848" s="7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7"/>
      <c r="B849" s="7"/>
      <c r="C849" s="7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7"/>
      <c r="B850" s="7"/>
      <c r="C850" s="7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7"/>
      <c r="B851" s="7"/>
      <c r="C851" s="7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7"/>
      <c r="B852" s="7"/>
      <c r="C852" s="7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7"/>
      <c r="B853" s="7"/>
      <c r="C853" s="7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7"/>
      <c r="B854" s="7"/>
      <c r="C854" s="7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7"/>
      <c r="B855" s="7"/>
      <c r="C855" s="7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7"/>
      <c r="B856" s="7"/>
      <c r="C856" s="7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7"/>
      <c r="B857" s="7"/>
      <c r="C857" s="7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7"/>
      <c r="B858" s="7"/>
      <c r="C858" s="7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7"/>
      <c r="B859" s="7"/>
      <c r="C859" s="7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7"/>
      <c r="B860" s="7"/>
      <c r="C860" s="7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7"/>
      <c r="B861" s="7"/>
      <c r="C861" s="7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7"/>
      <c r="B862" s="7"/>
      <c r="C862" s="7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7"/>
      <c r="B863" s="7"/>
      <c r="C863" s="7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7"/>
      <c r="B864" s="7"/>
      <c r="C864" s="7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7"/>
      <c r="B865" s="7"/>
      <c r="C865" s="7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7"/>
      <c r="B866" s="7"/>
      <c r="C866" s="7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7"/>
      <c r="B867" s="7"/>
      <c r="C867" s="7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7"/>
      <c r="B868" s="7"/>
      <c r="C868" s="7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7"/>
      <c r="B869" s="7"/>
      <c r="C869" s="7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7"/>
      <c r="B870" s="7"/>
      <c r="C870" s="7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7"/>
      <c r="B871" s="7"/>
      <c r="C871" s="7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7"/>
      <c r="B872" s="7"/>
      <c r="C872" s="7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7"/>
      <c r="B873" s="7"/>
      <c r="C873" s="7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7"/>
      <c r="B874" s="7"/>
      <c r="C874" s="7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7"/>
      <c r="B875" s="7"/>
      <c r="C875" s="7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7"/>
      <c r="B876" s="7"/>
      <c r="C876" s="7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7"/>
      <c r="B877" s="7"/>
      <c r="C877" s="7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7"/>
      <c r="B878" s="7"/>
      <c r="C878" s="7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7"/>
      <c r="B879" s="7"/>
      <c r="C879" s="7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7"/>
      <c r="B880" s="7"/>
      <c r="C880" s="7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7"/>
      <c r="B881" s="7"/>
      <c r="C881" s="7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7"/>
      <c r="B882" s="7"/>
      <c r="C882" s="7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7"/>
      <c r="B883" s="7"/>
      <c r="C883" s="7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7"/>
      <c r="B884" s="7"/>
      <c r="C884" s="7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7"/>
      <c r="B885" s="7"/>
      <c r="C885" s="7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7"/>
      <c r="B886" s="7"/>
      <c r="C886" s="7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7"/>
      <c r="B887" s="7"/>
      <c r="C887" s="7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7"/>
      <c r="B888" s="7"/>
      <c r="C888" s="7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7"/>
      <c r="B889" s="7"/>
      <c r="C889" s="7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7"/>
      <c r="B890" s="7"/>
      <c r="C890" s="7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7"/>
      <c r="B891" s="7"/>
      <c r="C891" s="7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7"/>
      <c r="B892" s="7"/>
      <c r="C892" s="7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7"/>
      <c r="B893" s="7"/>
      <c r="C893" s="7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7"/>
      <c r="B894" s="7"/>
      <c r="C894" s="7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7"/>
      <c r="B895" s="7"/>
      <c r="C895" s="7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7"/>
      <c r="B896" s="7"/>
      <c r="C896" s="7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7"/>
      <c r="B897" s="7"/>
      <c r="C897" s="7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7"/>
      <c r="B898" s="7"/>
      <c r="C898" s="7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7"/>
      <c r="B899" s="7"/>
      <c r="C899" s="7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7"/>
      <c r="B900" s="7"/>
      <c r="C900" s="7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7"/>
      <c r="B901" s="7"/>
      <c r="C901" s="7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7"/>
      <c r="B902" s="7"/>
      <c r="C902" s="7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7"/>
      <c r="B903" s="7"/>
      <c r="C903" s="7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7"/>
      <c r="B904" s="7"/>
      <c r="C904" s="7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7"/>
      <c r="B905" s="7"/>
      <c r="C905" s="7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7"/>
      <c r="B906" s="7"/>
      <c r="C906" s="7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7"/>
      <c r="B907" s="7"/>
      <c r="C907" s="7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7"/>
      <c r="B908" s="7"/>
      <c r="C908" s="7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7"/>
      <c r="B909" s="7"/>
      <c r="C909" s="7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7"/>
      <c r="B910" s="7"/>
      <c r="C910" s="7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7"/>
      <c r="B911" s="7"/>
      <c r="C911" s="7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7"/>
      <c r="B912" s="7"/>
      <c r="C912" s="7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7"/>
      <c r="B913" s="7"/>
      <c r="C913" s="7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7"/>
      <c r="B914" s="7"/>
      <c r="C914" s="7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7"/>
      <c r="B915" s="7"/>
      <c r="C915" s="7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7"/>
      <c r="B916" s="7"/>
      <c r="C916" s="7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7"/>
      <c r="B917" s="7"/>
      <c r="C917" s="7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7"/>
      <c r="B918" s="7"/>
      <c r="C918" s="7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7"/>
      <c r="B919" s="7"/>
      <c r="C919" s="7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7"/>
      <c r="B920" s="7"/>
      <c r="C920" s="7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7"/>
      <c r="B921" s="7"/>
      <c r="C921" s="7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7"/>
      <c r="B922" s="7"/>
      <c r="C922" s="7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7"/>
      <c r="B923" s="7"/>
      <c r="C923" s="7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7"/>
      <c r="B924" s="7"/>
      <c r="C924" s="7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7"/>
      <c r="B925" s="7"/>
      <c r="C925" s="7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7"/>
      <c r="B926" s="7"/>
      <c r="C926" s="7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7"/>
      <c r="B927" s="7"/>
      <c r="C927" s="7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7"/>
      <c r="B928" s="7"/>
      <c r="C928" s="7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7"/>
      <c r="B929" s="7"/>
      <c r="C929" s="7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7"/>
      <c r="B930" s="7"/>
      <c r="C930" s="7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7"/>
      <c r="B931" s="7"/>
      <c r="C931" s="7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7"/>
      <c r="B932" s="7"/>
      <c r="C932" s="7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7"/>
      <c r="B933" s="7"/>
      <c r="C933" s="7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7"/>
      <c r="B934" s="7"/>
      <c r="C934" s="7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7"/>
      <c r="B935" s="7"/>
      <c r="C935" s="7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7"/>
      <c r="B936" s="7"/>
      <c r="C936" s="7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7"/>
      <c r="B937" s="7"/>
      <c r="C937" s="7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7"/>
      <c r="B938" s="7"/>
      <c r="C938" s="7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7"/>
      <c r="B939" s="7"/>
      <c r="C939" s="7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7"/>
      <c r="B940" s="7"/>
      <c r="C940" s="7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7"/>
      <c r="B941" s="7"/>
      <c r="C941" s="7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7"/>
      <c r="B942" s="7"/>
      <c r="C942" s="7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7"/>
      <c r="B943" s="7"/>
      <c r="C943" s="7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7"/>
      <c r="B944" s="7"/>
      <c r="C944" s="7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7"/>
      <c r="B945" s="7"/>
      <c r="C945" s="7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7"/>
      <c r="B946" s="7"/>
      <c r="C946" s="7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7"/>
      <c r="B947" s="7"/>
      <c r="C947" s="7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7"/>
      <c r="B948" s="7"/>
      <c r="C948" s="7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7"/>
      <c r="B949" s="7"/>
      <c r="C949" s="7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7"/>
      <c r="B950" s="7"/>
      <c r="C950" s="7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7"/>
      <c r="B951" s="7"/>
      <c r="C951" s="7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7"/>
      <c r="B952" s="7"/>
      <c r="C952" s="7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7"/>
      <c r="B953" s="7"/>
      <c r="C953" s="7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7"/>
      <c r="B954" s="7"/>
      <c r="C954" s="7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7"/>
      <c r="B955" s="7"/>
      <c r="C955" s="7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7"/>
      <c r="B956" s="7"/>
      <c r="C956" s="7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7"/>
      <c r="B957" s="7"/>
      <c r="C957" s="7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7"/>
      <c r="B958" s="7"/>
      <c r="C958" s="7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7"/>
      <c r="B959" s="7"/>
      <c r="C959" s="7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7"/>
      <c r="B960" s="7"/>
      <c r="C960" s="7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7"/>
      <c r="B961" s="7"/>
      <c r="C961" s="7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7"/>
      <c r="B962" s="7"/>
      <c r="C962" s="7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7"/>
      <c r="B963" s="7"/>
      <c r="C963" s="7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7"/>
      <c r="B964" s="7"/>
      <c r="C964" s="7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7"/>
      <c r="B965" s="7"/>
      <c r="C965" s="7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7"/>
      <c r="B966" s="7"/>
      <c r="C966" s="7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7"/>
      <c r="B967" s="7"/>
      <c r="C967" s="7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7"/>
      <c r="B968" s="7"/>
      <c r="C968" s="7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7"/>
      <c r="B969" s="7"/>
      <c r="C969" s="7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7"/>
      <c r="B970" s="7"/>
      <c r="C970" s="7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7"/>
      <c r="B971" s="7"/>
      <c r="C971" s="7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7"/>
      <c r="B972" s="7"/>
      <c r="C972" s="7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7"/>
      <c r="B973" s="7"/>
      <c r="C973" s="7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7"/>
      <c r="B974" s="7"/>
      <c r="C974" s="7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7"/>
      <c r="B975" s="7"/>
      <c r="C975" s="7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7"/>
      <c r="B976" s="7"/>
      <c r="C976" s="7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">
      <c r="A977" s="7"/>
      <c r="B977" s="7"/>
      <c r="C977" s="7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">
      <c r="A978" s="7"/>
      <c r="B978" s="7"/>
      <c r="C978" s="7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">
      <c r="A979" s="7"/>
      <c r="B979" s="7"/>
      <c r="C979" s="7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">
      <c r="A980" s="7"/>
      <c r="B980" s="7"/>
      <c r="C980" s="7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">
      <c r="A981" s="7"/>
      <c r="B981" s="7"/>
      <c r="C981" s="7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">
      <c r="A982" s="7"/>
      <c r="B982" s="7"/>
      <c r="C982" s="7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">
      <c r="A983" s="7"/>
      <c r="B983" s="7"/>
      <c r="C983" s="7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">
      <c r="A984" s="7"/>
      <c r="B984" s="7"/>
      <c r="C984" s="7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">
      <c r="A985" s="7"/>
      <c r="B985" s="7"/>
      <c r="C985" s="7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">
      <c r="A986" s="7"/>
      <c r="B986" s="7"/>
      <c r="C986" s="7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">
      <c r="A987" s="7"/>
      <c r="B987" s="7"/>
      <c r="C987" s="7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">
      <c r="A988" s="7"/>
      <c r="B988" s="7"/>
      <c r="C988" s="7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">
      <c r="A989" s="7"/>
      <c r="B989" s="7"/>
      <c r="C989" s="7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">
      <c r="A990" s="7"/>
      <c r="B990" s="7"/>
      <c r="C990" s="7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">
      <c r="A991" s="7"/>
      <c r="B991" s="7"/>
      <c r="C991" s="7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">
      <c r="A992" s="7"/>
      <c r="B992" s="7"/>
      <c r="C992" s="7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">
      <c r="A993" s="7"/>
      <c r="B993" s="7"/>
      <c r="C993" s="7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">
      <c r="A994" s="7"/>
      <c r="B994" s="7"/>
      <c r="C994" s="7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">
      <c r="A995" s="7"/>
      <c r="B995" s="7"/>
      <c r="C995" s="7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">
      <c r="A996" s="7"/>
      <c r="B996" s="7"/>
      <c r="C996" s="7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">
      <c r="A997" s="7"/>
      <c r="B997" s="7"/>
      <c r="C997" s="7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">
      <c r="A998" s="7"/>
      <c r="B998" s="7"/>
      <c r="C998" s="7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">
      <c r="A999" s="7"/>
      <c r="B999" s="7"/>
      <c r="C999" s="7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">
      <c r="A1000" s="7"/>
      <c r="B1000" s="7"/>
      <c r="C1000" s="7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 x14ac:dyDescent="0.2"/>
  <cols>
    <col min="1" max="1" width="7" customWidth="1"/>
    <col min="2" max="2" width="8.5" customWidth="1"/>
    <col min="3" max="3" width="7.1640625" customWidth="1"/>
    <col min="4" max="4" width="8" customWidth="1"/>
    <col min="5" max="5" width="10.5" customWidth="1"/>
    <col min="6" max="26" width="8.83203125" customWidth="1"/>
  </cols>
  <sheetData>
    <row r="1" spans="1:26" ht="16" x14ac:dyDescent="0.2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">
      <c r="A2" s="10" t="s">
        <v>15</v>
      </c>
      <c r="B2" s="10" t="s">
        <v>16</v>
      </c>
      <c r="C2" s="10">
        <v>1</v>
      </c>
      <c r="D2" s="11">
        <v>2540</v>
      </c>
      <c r="E2" s="12" t="str">
        <f t="shared" ref="E2:E9" si="0">A2&amp;"-"&amp;B2&amp;"-"&amp;C2</f>
        <v>X-A-1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10" t="s">
        <v>15</v>
      </c>
      <c r="B3" s="10" t="s">
        <v>16</v>
      </c>
      <c r="C3" s="10">
        <v>2</v>
      </c>
      <c r="D3" s="11">
        <v>1640</v>
      </c>
      <c r="E3" s="12" t="str">
        <f t="shared" si="0"/>
        <v>X-A-2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10" t="s">
        <v>15</v>
      </c>
      <c r="B4" s="10" t="s">
        <v>17</v>
      </c>
      <c r="C4" s="10">
        <v>1</v>
      </c>
      <c r="D4" s="11">
        <v>1200</v>
      </c>
      <c r="E4" s="12" t="str">
        <f t="shared" si="0"/>
        <v>X-B-1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10" t="s">
        <v>15</v>
      </c>
      <c r="B5" s="10" t="s">
        <v>17</v>
      </c>
      <c r="C5" s="10">
        <v>2</v>
      </c>
      <c r="D5" s="11">
        <v>1200</v>
      </c>
      <c r="E5" s="12" t="str">
        <f t="shared" si="0"/>
        <v>X-B-2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10" t="s">
        <v>18</v>
      </c>
      <c r="B6" s="10" t="s">
        <v>16</v>
      </c>
      <c r="C6" s="10">
        <v>1</v>
      </c>
      <c r="D6" s="13">
        <v>0.12</v>
      </c>
      <c r="E6" s="12" t="str">
        <f t="shared" si="0"/>
        <v>Y-A-1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10" t="s">
        <v>18</v>
      </c>
      <c r="B7" s="10" t="s">
        <v>16</v>
      </c>
      <c r="C7" s="10">
        <v>2</v>
      </c>
      <c r="D7" s="13">
        <v>7.0000000000000007E-2</v>
      </c>
      <c r="E7" s="12" t="str">
        <f t="shared" si="0"/>
        <v>Y-A-2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10" t="s">
        <v>18</v>
      </c>
      <c r="B8" s="10" t="s">
        <v>17</v>
      </c>
      <c r="C8" s="10">
        <v>1</v>
      </c>
      <c r="D8" s="13">
        <v>7.0000000000000007E-2</v>
      </c>
      <c r="E8" s="12" t="str">
        <f t="shared" si="0"/>
        <v>Y-B-1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10" t="s">
        <v>18</v>
      </c>
      <c r="B9" s="10" t="s">
        <v>17</v>
      </c>
      <c r="C9" s="10">
        <v>2</v>
      </c>
      <c r="D9" s="13">
        <v>0.06</v>
      </c>
      <c r="E9" s="12" t="str">
        <f t="shared" si="0"/>
        <v>Y-B-2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0.6640625" customWidth="1"/>
    <col min="2" max="2" width="8.83203125" customWidth="1"/>
    <col min="3" max="3" width="8.5" customWidth="1"/>
    <col min="4" max="4" width="11.83203125" customWidth="1"/>
    <col min="5" max="5" width="11.5" customWidth="1"/>
    <col min="6" max="6" width="15" customWidth="1"/>
    <col min="7" max="7" width="14.6640625" customWidth="1"/>
    <col min="8" max="26" width="9.1640625" customWidth="1"/>
  </cols>
  <sheetData>
    <row r="1" spans="1:26" x14ac:dyDescent="0.2">
      <c r="A1" s="14" t="s">
        <v>19</v>
      </c>
      <c r="B1" s="15" t="s">
        <v>12</v>
      </c>
      <c r="C1" s="15" t="s">
        <v>11</v>
      </c>
      <c r="D1" s="15" t="s">
        <v>0</v>
      </c>
      <c r="E1" s="16" t="s">
        <v>20</v>
      </c>
      <c r="F1" s="16" t="s">
        <v>21</v>
      </c>
      <c r="G1" s="16" t="s">
        <v>22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6" x14ac:dyDescent="0.2">
      <c r="A2" s="17">
        <v>41855</v>
      </c>
      <c r="B2" s="18">
        <v>1</v>
      </c>
      <c r="C2" s="18" t="s">
        <v>16</v>
      </c>
      <c r="D2" s="18">
        <v>1</v>
      </c>
      <c r="E2" s="19">
        <v>4338</v>
      </c>
      <c r="F2" s="18">
        <v>2.2000000000000002</v>
      </c>
      <c r="G2" s="20">
        <v>9543.6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6" x14ac:dyDescent="0.2">
      <c r="A3" s="17">
        <v>41855</v>
      </c>
      <c r="B3" s="18">
        <v>1</v>
      </c>
      <c r="C3" s="18" t="s">
        <v>16</v>
      </c>
      <c r="D3" s="18">
        <v>2</v>
      </c>
      <c r="E3" s="19">
        <v>5006</v>
      </c>
      <c r="F3" s="18">
        <v>1.2</v>
      </c>
      <c r="G3" s="20">
        <v>6007.2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" x14ac:dyDescent="0.2">
      <c r="A4" s="17">
        <v>41855</v>
      </c>
      <c r="B4" s="18">
        <v>2</v>
      </c>
      <c r="C4" s="18" t="s">
        <v>16</v>
      </c>
      <c r="D4" s="18">
        <v>1</v>
      </c>
      <c r="E4" s="19">
        <v>3600</v>
      </c>
      <c r="F4" s="18">
        <v>2.2000000000000002</v>
      </c>
      <c r="G4" s="21">
        <v>7920.0000000000009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6" x14ac:dyDescent="0.2">
      <c r="A5" s="17">
        <v>41855</v>
      </c>
      <c r="B5" s="18">
        <v>2</v>
      </c>
      <c r="C5" s="18" t="s">
        <v>16</v>
      </c>
      <c r="D5" s="18">
        <v>2</v>
      </c>
      <c r="E5" s="19">
        <v>5173</v>
      </c>
      <c r="F5" s="18">
        <v>1.2</v>
      </c>
      <c r="G5" s="21">
        <v>6207.5999999999995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6" x14ac:dyDescent="0.2">
      <c r="A6" s="17">
        <v>41855</v>
      </c>
      <c r="B6" s="18">
        <v>1</v>
      </c>
      <c r="C6" s="18" t="s">
        <v>17</v>
      </c>
      <c r="D6" s="18">
        <v>3</v>
      </c>
      <c r="E6" s="19">
        <v>1890</v>
      </c>
      <c r="F6" s="18">
        <v>8.3000000000000007</v>
      </c>
      <c r="G6" s="21">
        <v>15687.000000000002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6" x14ac:dyDescent="0.2">
      <c r="A7" s="17">
        <v>41855</v>
      </c>
      <c r="B7" s="18">
        <v>2</v>
      </c>
      <c r="C7" s="18" t="s">
        <v>17</v>
      </c>
      <c r="D7" s="18">
        <v>3</v>
      </c>
      <c r="E7" s="19">
        <v>2536</v>
      </c>
      <c r="F7" s="18">
        <v>8.3000000000000007</v>
      </c>
      <c r="G7" s="21">
        <v>21048.800000000003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" x14ac:dyDescent="0.2">
      <c r="A8" s="17">
        <v>41862</v>
      </c>
      <c r="B8" s="18">
        <v>1</v>
      </c>
      <c r="C8" s="18" t="s">
        <v>16</v>
      </c>
      <c r="D8" s="18">
        <v>1</v>
      </c>
      <c r="E8" s="19">
        <v>4598</v>
      </c>
      <c r="F8" s="18">
        <v>2.2000000000000002</v>
      </c>
      <c r="G8" s="20">
        <v>10115.6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6" x14ac:dyDescent="0.2">
      <c r="A9" s="17">
        <v>41862</v>
      </c>
      <c r="B9" s="18">
        <v>1</v>
      </c>
      <c r="C9" s="18" t="s">
        <v>16</v>
      </c>
      <c r="D9" s="18">
        <v>2</v>
      </c>
      <c r="E9" s="19">
        <v>5463</v>
      </c>
      <c r="F9" s="18">
        <v>1.2</v>
      </c>
      <c r="G9" s="20">
        <v>6555.5999999999995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6" x14ac:dyDescent="0.2">
      <c r="A10" s="17">
        <v>41862</v>
      </c>
      <c r="B10" s="18">
        <v>2</v>
      </c>
      <c r="C10" s="18" t="s">
        <v>16</v>
      </c>
      <c r="D10" s="18">
        <v>1</v>
      </c>
      <c r="E10" s="19">
        <v>3234</v>
      </c>
      <c r="F10" s="18">
        <v>2.2000000000000002</v>
      </c>
      <c r="G10" s="21">
        <v>7114.8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6" x14ac:dyDescent="0.2">
      <c r="A11" s="17">
        <v>41862</v>
      </c>
      <c r="B11" s="18">
        <v>2</v>
      </c>
      <c r="C11" s="18" t="s">
        <v>16</v>
      </c>
      <c r="D11" s="18">
        <v>2</v>
      </c>
      <c r="E11" s="19">
        <v>5048</v>
      </c>
      <c r="F11" s="18">
        <v>1.2</v>
      </c>
      <c r="G11" s="21">
        <v>6057.5999999999995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6" x14ac:dyDescent="0.2">
      <c r="A12" s="17">
        <v>41862</v>
      </c>
      <c r="B12" s="18">
        <v>1</v>
      </c>
      <c r="C12" s="18" t="s">
        <v>17</v>
      </c>
      <c r="D12" s="18">
        <v>3</v>
      </c>
      <c r="E12" s="19">
        <v>1738</v>
      </c>
      <c r="F12" s="18">
        <v>8.3000000000000007</v>
      </c>
      <c r="G12" s="21">
        <v>14425.400000000001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6" x14ac:dyDescent="0.2">
      <c r="A13" s="17">
        <v>41862</v>
      </c>
      <c r="B13" s="18">
        <v>2</v>
      </c>
      <c r="C13" s="18" t="s">
        <v>17</v>
      </c>
      <c r="D13" s="18">
        <v>3</v>
      </c>
      <c r="E13" s="19">
        <v>2016</v>
      </c>
      <c r="F13" s="18">
        <v>8.3000000000000007</v>
      </c>
      <c r="G13" s="21">
        <v>16732.800000000003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6" x14ac:dyDescent="0.2">
      <c r="A14" s="17">
        <v>41869</v>
      </c>
      <c r="B14" s="18">
        <v>1</v>
      </c>
      <c r="C14" s="18" t="s">
        <v>16</v>
      </c>
      <c r="D14" s="18">
        <v>1</v>
      </c>
      <c r="E14" s="19">
        <v>4268</v>
      </c>
      <c r="F14" s="18">
        <v>2.2000000000000002</v>
      </c>
      <c r="G14" s="20">
        <v>9389.6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" x14ac:dyDescent="0.2">
      <c r="A15" s="17">
        <v>41869</v>
      </c>
      <c r="B15" s="18">
        <v>1</v>
      </c>
      <c r="C15" s="18" t="s">
        <v>16</v>
      </c>
      <c r="D15" s="18">
        <v>2</v>
      </c>
      <c r="E15" s="19">
        <v>5342</v>
      </c>
      <c r="F15" s="18">
        <v>1.2</v>
      </c>
      <c r="G15" s="20">
        <v>6410.4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" x14ac:dyDescent="0.2">
      <c r="A16" s="17">
        <v>41869</v>
      </c>
      <c r="B16" s="18">
        <v>2</v>
      </c>
      <c r="C16" s="18" t="s">
        <v>16</v>
      </c>
      <c r="D16" s="18">
        <v>1</v>
      </c>
      <c r="E16" s="19">
        <v>2623</v>
      </c>
      <c r="F16" s="18">
        <v>2.2000000000000002</v>
      </c>
      <c r="G16" s="21">
        <v>5770.6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" x14ac:dyDescent="0.2">
      <c r="A17" s="17">
        <v>41869</v>
      </c>
      <c r="B17" s="18">
        <v>2</v>
      </c>
      <c r="C17" s="18" t="s">
        <v>16</v>
      </c>
      <c r="D17" s="18">
        <v>2</v>
      </c>
      <c r="E17" s="19">
        <v>4908</v>
      </c>
      <c r="F17" s="18">
        <v>1.2</v>
      </c>
      <c r="G17" s="21">
        <v>5889.5999999999995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" x14ac:dyDescent="0.2">
      <c r="A18" s="17">
        <v>41869</v>
      </c>
      <c r="B18" s="18">
        <v>1</v>
      </c>
      <c r="C18" s="18" t="s">
        <v>17</v>
      </c>
      <c r="D18" s="18">
        <v>3</v>
      </c>
      <c r="E18" s="19">
        <v>1782</v>
      </c>
      <c r="F18" s="18">
        <v>8.3000000000000007</v>
      </c>
      <c r="G18" s="21">
        <v>14790.6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6" x14ac:dyDescent="0.2">
      <c r="A19" s="17">
        <v>41869</v>
      </c>
      <c r="B19" s="18">
        <v>2</v>
      </c>
      <c r="C19" s="18" t="s">
        <v>17</v>
      </c>
      <c r="D19" s="18">
        <v>3</v>
      </c>
      <c r="E19" s="19">
        <v>2377</v>
      </c>
      <c r="F19" s="18">
        <v>8.3000000000000007</v>
      </c>
      <c r="G19" s="21">
        <v>19729.100000000002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6" x14ac:dyDescent="0.2">
      <c r="A20" s="17">
        <v>41876</v>
      </c>
      <c r="B20" s="18">
        <v>1</v>
      </c>
      <c r="C20" s="18" t="s">
        <v>16</v>
      </c>
      <c r="D20" s="18">
        <v>1</v>
      </c>
      <c r="E20" s="19">
        <v>3453</v>
      </c>
      <c r="F20" s="18">
        <v>2.2000000000000002</v>
      </c>
      <c r="G20" s="20">
        <v>7596.6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">
      <c r="A21" s="17">
        <v>41876</v>
      </c>
      <c r="B21" s="18">
        <v>1</v>
      </c>
      <c r="C21" s="18" t="s">
        <v>16</v>
      </c>
      <c r="D21" s="18">
        <v>2</v>
      </c>
      <c r="E21" s="19">
        <v>6115</v>
      </c>
      <c r="F21" s="18">
        <v>1.2</v>
      </c>
      <c r="G21" s="20">
        <v>7338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">
      <c r="A22" s="17">
        <v>41876</v>
      </c>
      <c r="B22" s="18">
        <v>2</v>
      </c>
      <c r="C22" s="18" t="s">
        <v>16</v>
      </c>
      <c r="D22" s="18">
        <v>1</v>
      </c>
      <c r="E22" s="19">
        <v>1902</v>
      </c>
      <c r="F22" s="18">
        <v>2.2000000000000002</v>
      </c>
      <c r="G22" s="21">
        <v>4184.4000000000005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">
      <c r="A23" s="17">
        <v>41876</v>
      </c>
      <c r="B23" s="18">
        <v>2</v>
      </c>
      <c r="C23" s="18" t="s">
        <v>16</v>
      </c>
      <c r="D23" s="18">
        <v>2</v>
      </c>
      <c r="E23" s="19">
        <v>5904</v>
      </c>
      <c r="F23" s="18">
        <v>1.2</v>
      </c>
      <c r="G23" s="21">
        <v>7084.8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">
      <c r="A24" s="17">
        <v>41876</v>
      </c>
      <c r="B24" s="18">
        <v>1</v>
      </c>
      <c r="C24" s="18" t="s">
        <v>17</v>
      </c>
      <c r="D24" s="18">
        <v>3</v>
      </c>
      <c r="E24" s="19">
        <v>2503</v>
      </c>
      <c r="F24" s="18">
        <v>8.3000000000000007</v>
      </c>
      <c r="G24" s="21">
        <v>20774.900000000001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17">
        <v>41876</v>
      </c>
      <c r="B25" s="18">
        <v>2</v>
      </c>
      <c r="C25" s="18" t="s">
        <v>17</v>
      </c>
      <c r="D25" s="18">
        <v>3</v>
      </c>
      <c r="E25" s="19">
        <v>3457</v>
      </c>
      <c r="F25" s="18">
        <v>8.3000000000000007</v>
      </c>
      <c r="G25" s="21">
        <v>28693.100000000002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17">
        <v>41883</v>
      </c>
      <c r="B26" s="18">
        <v>1</v>
      </c>
      <c r="C26" s="18" t="s">
        <v>16</v>
      </c>
      <c r="D26" s="18">
        <v>1</v>
      </c>
      <c r="E26" s="19">
        <v>3530</v>
      </c>
      <c r="F26" s="18">
        <v>2.2000000000000002</v>
      </c>
      <c r="G26" s="21">
        <v>7766.0000000000009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17">
        <v>41883</v>
      </c>
      <c r="B27" s="18">
        <v>1</v>
      </c>
      <c r="C27" s="18" t="s">
        <v>16</v>
      </c>
      <c r="D27" s="18">
        <v>2</v>
      </c>
      <c r="E27" s="19">
        <v>6097</v>
      </c>
      <c r="F27" s="18">
        <v>1.2</v>
      </c>
      <c r="G27" s="21">
        <v>7316.4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17">
        <v>41883</v>
      </c>
      <c r="B28" s="18">
        <v>2</v>
      </c>
      <c r="C28" s="18" t="s">
        <v>16</v>
      </c>
      <c r="D28" s="18">
        <v>1</v>
      </c>
      <c r="E28" s="19">
        <v>2567</v>
      </c>
      <c r="F28" s="18">
        <v>2.2000000000000002</v>
      </c>
      <c r="G28" s="21">
        <v>5647.4000000000005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17">
        <v>41883</v>
      </c>
      <c r="B29" s="18">
        <v>2</v>
      </c>
      <c r="C29" s="18" t="s">
        <v>16</v>
      </c>
      <c r="D29" s="18">
        <v>2</v>
      </c>
      <c r="E29" s="19">
        <v>7325</v>
      </c>
      <c r="F29" s="18">
        <v>1.2</v>
      </c>
      <c r="G29" s="21">
        <v>8790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17">
        <v>41883</v>
      </c>
      <c r="B30" s="18">
        <v>1</v>
      </c>
      <c r="C30" s="18" t="s">
        <v>17</v>
      </c>
      <c r="D30" s="18">
        <v>3</v>
      </c>
      <c r="E30" s="19">
        <v>1946</v>
      </c>
      <c r="F30" s="18">
        <v>8.3000000000000007</v>
      </c>
      <c r="G30" s="21">
        <v>16151.800000000001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17">
        <v>41883</v>
      </c>
      <c r="B31" s="18">
        <v>2</v>
      </c>
      <c r="C31" s="18" t="s">
        <v>17</v>
      </c>
      <c r="D31" s="18">
        <v>3</v>
      </c>
      <c r="E31" s="19">
        <v>2027</v>
      </c>
      <c r="F31" s="18">
        <v>8.3000000000000007</v>
      </c>
      <c r="G31" s="21">
        <v>16824.100000000002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17">
        <v>41890</v>
      </c>
      <c r="B32" s="18">
        <v>1</v>
      </c>
      <c r="C32" s="18" t="s">
        <v>16</v>
      </c>
      <c r="D32" s="18">
        <v>1</v>
      </c>
      <c r="E32" s="19">
        <v>3288</v>
      </c>
      <c r="F32" s="18">
        <v>2.2000000000000002</v>
      </c>
      <c r="G32" s="21">
        <v>7233.6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17">
        <v>41890</v>
      </c>
      <c r="B33" s="18">
        <v>1</v>
      </c>
      <c r="C33" s="18" t="s">
        <v>16</v>
      </c>
      <c r="D33" s="18">
        <v>2</v>
      </c>
      <c r="E33" s="19">
        <v>5099</v>
      </c>
      <c r="F33" s="18">
        <v>1.2</v>
      </c>
      <c r="G33" s="21">
        <v>6118.8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17">
        <v>41890</v>
      </c>
      <c r="B34" s="18">
        <v>2</v>
      </c>
      <c r="C34" s="18" t="s">
        <v>16</v>
      </c>
      <c r="D34" s="18">
        <v>1</v>
      </c>
      <c r="E34" s="19">
        <v>2056</v>
      </c>
      <c r="F34" s="18">
        <v>2.2000000000000002</v>
      </c>
      <c r="G34" s="21">
        <v>4523.2000000000007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17">
        <v>41890</v>
      </c>
      <c r="B35" s="18">
        <v>2</v>
      </c>
      <c r="C35" s="18" t="s">
        <v>16</v>
      </c>
      <c r="D35" s="18">
        <v>2</v>
      </c>
      <c r="E35" s="19">
        <v>5978</v>
      </c>
      <c r="F35" s="18">
        <v>1.2</v>
      </c>
      <c r="G35" s="21">
        <v>7173.5999999999995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17">
        <v>41890</v>
      </c>
      <c r="B36" s="18">
        <v>1</v>
      </c>
      <c r="C36" s="18" t="s">
        <v>17</v>
      </c>
      <c r="D36" s="18">
        <v>3</v>
      </c>
      <c r="E36" s="19">
        <v>2045</v>
      </c>
      <c r="F36" s="18">
        <v>8.3000000000000007</v>
      </c>
      <c r="G36" s="21">
        <v>16973.5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17">
        <v>41890</v>
      </c>
      <c r="B37" s="18">
        <v>2</v>
      </c>
      <c r="C37" s="18" t="s">
        <v>17</v>
      </c>
      <c r="D37" s="18">
        <v>3</v>
      </c>
      <c r="E37" s="19">
        <v>2174</v>
      </c>
      <c r="F37" s="18">
        <v>8.3000000000000007</v>
      </c>
      <c r="G37" s="21">
        <v>18044.2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17">
        <v>41897</v>
      </c>
      <c r="B38" s="18">
        <v>1</v>
      </c>
      <c r="C38" s="18" t="s">
        <v>16</v>
      </c>
      <c r="D38" s="18">
        <v>1</v>
      </c>
      <c r="E38" s="19">
        <v>3999</v>
      </c>
      <c r="F38" s="18">
        <v>2.2000000000000002</v>
      </c>
      <c r="G38" s="21">
        <v>8797.8000000000011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17">
        <v>41897</v>
      </c>
      <c r="B39" s="18">
        <v>1</v>
      </c>
      <c r="C39" s="18" t="s">
        <v>16</v>
      </c>
      <c r="D39" s="18">
        <v>2</v>
      </c>
      <c r="E39" s="19">
        <v>5497</v>
      </c>
      <c r="F39" s="18">
        <v>1.2</v>
      </c>
      <c r="G39" s="21">
        <v>6596.4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17">
        <v>41897</v>
      </c>
      <c r="B40" s="18">
        <v>2</v>
      </c>
      <c r="C40" s="18" t="s">
        <v>16</v>
      </c>
      <c r="D40" s="18">
        <v>1</v>
      </c>
      <c r="E40" s="19">
        <v>3295</v>
      </c>
      <c r="F40" s="18">
        <v>2.2000000000000002</v>
      </c>
      <c r="G40" s="21">
        <v>7249.0000000000009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17">
        <v>41897</v>
      </c>
      <c r="B41" s="18">
        <v>2</v>
      </c>
      <c r="C41" s="18" t="s">
        <v>16</v>
      </c>
      <c r="D41" s="18">
        <v>2</v>
      </c>
      <c r="E41" s="19">
        <v>6486</v>
      </c>
      <c r="F41" s="18">
        <v>1.2</v>
      </c>
      <c r="G41" s="21">
        <v>7783.2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17">
        <v>41897</v>
      </c>
      <c r="B42" s="18">
        <v>1</v>
      </c>
      <c r="C42" s="18" t="s">
        <v>17</v>
      </c>
      <c r="D42" s="18">
        <v>3</v>
      </c>
      <c r="E42" s="19">
        <v>2295</v>
      </c>
      <c r="F42" s="18">
        <v>8.3000000000000007</v>
      </c>
      <c r="G42" s="21">
        <v>19048.5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17">
        <v>41897</v>
      </c>
      <c r="B43" s="18">
        <v>2</v>
      </c>
      <c r="C43" s="18" t="s">
        <v>17</v>
      </c>
      <c r="D43" s="18">
        <v>3</v>
      </c>
      <c r="E43" s="19">
        <v>2849</v>
      </c>
      <c r="F43" s="18">
        <v>8.3000000000000007</v>
      </c>
      <c r="G43" s="21">
        <v>23646.7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17">
        <v>41904</v>
      </c>
      <c r="B44" s="18">
        <v>1</v>
      </c>
      <c r="C44" s="18" t="s">
        <v>16</v>
      </c>
      <c r="D44" s="18">
        <v>1</v>
      </c>
      <c r="E44" s="19">
        <v>3862</v>
      </c>
      <c r="F44" s="18">
        <v>2.2000000000000002</v>
      </c>
      <c r="G44" s="21">
        <v>8496.4000000000015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17">
        <v>41904</v>
      </c>
      <c r="B45" s="18">
        <v>1</v>
      </c>
      <c r="C45" s="18" t="s">
        <v>16</v>
      </c>
      <c r="D45" s="18">
        <v>2</v>
      </c>
      <c r="E45" s="19">
        <v>5087</v>
      </c>
      <c r="F45" s="18">
        <v>1.2</v>
      </c>
      <c r="G45" s="21">
        <v>6104.4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17">
        <v>41904</v>
      </c>
      <c r="B46" s="18">
        <v>2</v>
      </c>
      <c r="C46" s="18" t="s">
        <v>16</v>
      </c>
      <c r="D46" s="18">
        <v>1</v>
      </c>
      <c r="E46" s="19">
        <v>2569</v>
      </c>
      <c r="F46" s="18">
        <v>2.2000000000000002</v>
      </c>
      <c r="G46" s="21">
        <v>5651.8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17">
        <v>41904</v>
      </c>
      <c r="B47" s="18">
        <v>2</v>
      </c>
      <c r="C47" s="18" t="s">
        <v>16</v>
      </c>
      <c r="D47" s="18">
        <v>2</v>
      </c>
      <c r="E47" s="19">
        <v>4550</v>
      </c>
      <c r="F47" s="18">
        <v>1.2</v>
      </c>
      <c r="G47" s="21">
        <v>5460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17">
        <v>41904</v>
      </c>
      <c r="B48" s="18">
        <v>1</v>
      </c>
      <c r="C48" s="18" t="s">
        <v>17</v>
      </c>
      <c r="D48" s="18">
        <v>3</v>
      </c>
      <c r="E48" s="19">
        <v>1915</v>
      </c>
      <c r="F48" s="18">
        <v>8.3000000000000007</v>
      </c>
      <c r="G48" s="21">
        <v>15894.500000000002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17">
        <v>41904</v>
      </c>
      <c r="B49" s="18">
        <v>2</v>
      </c>
      <c r="C49" s="18" t="s">
        <v>17</v>
      </c>
      <c r="D49" s="18">
        <v>3</v>
      </c>
      <c r="E49" s="19">
        <v>2276</v>
      </c>
      <c r="F49" s="18">
        <v>8.3000000000000007</v>
      </c>
      <c r="G49" s="21">
        <v>18890.800000000003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17">
        <v>41911</v>
      </c>
      <c r="B50" s="18">
        <v>1</v>
      </c>
      <c r="C50" s="18" t="s">
        <v>16</v>
      </c>
      <c r="D50" s="18">
        <v>1</v>
      </c>
      <c r="E50" s="19">
        <v>3258</v>
      </c>
      <c r="F50" s="18">
        <v>2.2000000000000002</v>
      </c>
      <c r="G50" s="21">
        <v>7167.6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17">
        <v>41911</v>
      </c>
      <c r="B51" s="18">
        <v>1</v>
      </c>
      <c r="C51" s="18" t="s">
        <v>16</v>
      </c>
      <c r="D51" s="18">
        <v>2</v>
      </c>
      <c r="E51" s="19">
        <v>4838</v>
      </c>
      <c r="F51" s="18">
        <v>1.2</v>
      </c>
      <c r="G51" s="21">
        <v>5805.5999999999995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17">
        <v>41911</v>
      </c>
      <c r="B52" s="18">
        <v>2</v>
      </c>
      <c r="C52" s="18" t="s">
        <v>16</v>
      </c>
      <c r="D52" s="18">
        <v>1</v>
      </c>
      <c r="E52" s="19">
        <v>2623</v>
      </c>
      <c r="F52" s="18">
        <v>2.2000000000000002</v>
      </c>
      <c r="G52" s="21">
        <v>5770.6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17">
        <v>41911</v>
      </c>
      <c r="B53" s="18">
        <v>2</v>
      </c>
      <c r="C53" s="18" t="s">
        <v>16</v>
      </c>
      <c r="D53" s="18">
        <v>2</v>
      </c>
      <c r="E53" s="19">
        <v>4230</v>
      </c>
      <c r="F53" s="18">
        <v>1.2</v>
      </c>
      <c r="G53" s="21">
        <v>5076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17">
        <v>41911</v>
      </c>
      <c r="B54" s="18">
        <v>1</v>
      </c>
      <c r="C54" s="18" t="s">
        <v>17</v>
      </c>
      <c r="D54" s="18">
        <v>3</v>
      </c>
      <c r="E54" s="19">
        <v>1900</v>
      </c>
      <c r="F54" s="18">
        <v>8.3000000000000007</v>
      </c>
      <c r="G54" s="21">
        <v>15770.000000000002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17">
        <v>41911</v>
      </c>
      <c r="B55" s="18">
        <v>2</v>
      </c>
      <c r="C55" s="18" t="s">
        <v>17</v>
      </c>
      <c r="D55" s="18">
        <v>3</v>
      </c>
      <c r="E55" s="19">
        <v>2554</v>
      </c>
      <c r="F55" s="18">
        <v>8.3000000000000007</v>
      </c>
      <c r="G55" s="21">
        <v>21198.2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17">
        <v>41918</v>
      </c>
      <c r="B56" s="18">
        <v>1</v>
      </c>
      <c r="C56" s="18" t="s">
        <v>16</v>
      </c>
      <c r="D56" s="18">
        <v>1</v>
      </c>
      <c r="E56" s="19">
        <v>4228</v>
      </c>
      <c r="F56" s="18">
        <v>2.2000000000000002</v>
      </c>
      <c r="G56" s="21">
        <v>9301.6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17">
        <v>41918</v>
      </c>
      <c r="B57" s="18">
        <v>1</v>
      </c>
      <c r="C57" s="18" t="s">
        <v>16</v>
      </c>
      <c r="D57" s="18">
        <v>2</v>
      </c>
      <c r="E57" s="19">
        <v>5342</v>
      </c>
      <c r="F57" s="18">
        <v>1.2</v>
      </c>
      <c r="G57" s="21">
        <v>6410.4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17">
        <v>41918</v>
      </c>
      <c r="B58" s="18">
        <v>2</v>
      </c>
      <c r="C58" s="18" t="s">
        <v>16</v>
      </c>
      <c r="D58" s="18">
        <v>1</v>
      </c>
      <c r="E58" s="19">
        <v>2897</v>
      </c>
      <c r="F58" s="18">
        <v>2.2000000000000002</v>
      </c>
      <c r="G58" s="21">
        <v>6373.4000000000005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17">
        <v>41918</v>
      </c>
      <c r="B59" s="18">
        <v>2</v>
      </c>
      <c r="C59" s="18" t="s">
        <v>16</v>
      </c>
      <c r="D59" s="18">
        <v>2</v>
      </c>
      <c r="E59" s="19">
        <v>4895</v>
      </c>
      <c r="F59" s="18">
        <v>1.2</v>
      </c>
      <c r="G59" s="21">
        <v>5874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17">
        <v>41918</v>
      </c>
      <c r="B60" s="18">
        <v>1</v>
      </c>
      <c r="C60" s="18" t="s">
        <v>17</v>
      </c>
      <c r="D60" s="18">
        <v>3</v>
      </c>
      <c r="E60" s="19">
        <v>2038</v>
      </c>
      <c r="F60" s="18">
        <v>8.3000000000000007</v>
      </c>
      <c r="G60" s="21">
        <v>16915.400000000001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17">
        <v>41918</v>
      </c>
      <c r="B61" s="18">
        <v>2</v>
      </c>
      <c r="C61" s="18" t="s">
        <v>17</v>
      </c>
      <c r="D61" s="18">
        <v>3</v>
      </c>
      <c r="E61" s="19">
        <v>2161</v>
      </c>
      <c r="F61" s="18">
        <v>8.3000000000000007</v>
      </c>
      <c r="G61" s="21">
        <v>17936.300000000003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17">
        <v>41925</v>
      </c>
      <c r="B62" s="18">
        <v>1</v>
      </c>
      <c r="C62" s="18" t="s">
        <v>16</v>
      </c>
      <c r="D62" s="18">
        <v>1</v>
      </c>
      <c r="E62" s="19">
        <v>3530</v>
      </c>
      <c r="F62" s="18">
        <v>2.2000000000000002</v>
      </c>
      <c r="G62" s="21">
        <v>7766.0000000000009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17">
        <v>41925</v>
      </c>
      <c r="B63" s="18">
        <v>1</v>
      </c>
      <c r="C63" s="18" t="s">
        <v>16</v>
      </c>
      <c r="D63" s="18">
        <v>2</v>
      </c>
      <c r="E63" s="19">
        <v>4968</v>
      </c>
      <c r="F63" s="18">
        <v>1.2</v>
      </c>
      <c r="G63" s="21">
        <v>5961.5999999999995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17">
        <v>41925</v>
      </c>
      <c r="B64" s="18">
        <v>2</v>
      </c>
      <c r="C64" s="18" t="s">
        <v>16</v>
      </c>
      <c r="D64" s="18">
        <v>1</v>
      </c>
      <c r="E64" s="19">
        <v>2868</v>
      </c>
      <c r="F64" s="18">
        <v>2.2000000000000002</v>
      </c>
      <c r="G64" s="21">
        <v>6309.6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17">
        <v>41925</v>
      </c>
      <c r="B65" s="18">
        <v>2</v>
      </c>
      <c r="C65" s="18" t="s">
        <v>16</v>
      </c>
      <c r="D65" s="18">
        <v>2</v>
      </c>
      <c r="E65" s="19">
        <v>4414</v>
      </c>
      <c r="F65" s="18">
        <v>1.2</v>
      </c>
      <c r="G65" s="21">
        <v>5296.8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17">
        <v>41925</v>
      </c>
      <c r="B66" s="18">
        <v>1</v>
      </c>
      <c r="C66" s="18" t="s">
        <v>17</v>
      </c>
      <c r="D66" s="18">
        <v>3</v>
      </c>
      <c r="E66" s="19">
        <v>2050</v>
      </c>
      <c r="F66" s="18">
        <v>8.3000000000000007</v>
      </c>
      <c r="G66" s="21">
        <v>17015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17">
        <v>41925</v>
      </c>
      <c r="B67" s="18">
        <v>2</v>
      </c>
      <c r="C67" s="18" t="s">
        <v>17</v>
      </c>
      <c r="D67" s="18">
        <v>3</v>
      </c>
      <c r="E67" s="19">
        <v>2179</v>
      </c>
      <c r="F67" s="18">
        <v>8.3000000000000007</v>
      </c>
      <c r="G67" s="21">
        <v>18085.7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17">
        <v>41932</v>
      </c>
      <c r="B68" s="18">
        <v>1</v>
      </c>
      <c r="C68" s="18" t="s">
        <v>16</v>
      </c>
      <c r="D68" s="18">
        <v>1</v>
      </c>
      <c r="E68" s="19">
        <v>4227</v>
      </c>
      <c r="F68" s="18">
        <v>2.2000000000000002</v>
      </c>
      <c r="G68" s="21">
        <v>9299.4000000000015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17">
        <v>41932</v>
      </c>
      <c r="B69" s="18">
        <v>1</v>
      </c>
      <c r="C69" s="18" t="s">
        <v>16</v>
      </c>
      <c r="D69" s="18">
        <v>2</v>
      </c>
      <c r="E69" s="19">
        <v>5523</v>
      </c>
      <c r="F69" s="18">
        <v>1.2</v>
      </c>
      <c r="G69" s="21">
        <v>6627.5999999999995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17">
        <v>41932</v>
      </c>
      <c r="B70" s="18">
        <v>2</v>
      </c>
      <c r="C70" s="18" t="s">
        <v>16</v>
      </c>
      <c r="D70" s="18">
        <v>1</v>
      </c>
      <c r="E70" s="19">
        <v>3205</v>
      </c>
      <c r="F70" s="18">
        <v>2.2000000000000002</v>
      </c>
      <c r="G70" s="21">
        <v>7051.0000000000009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17">
        <v>41932</v>
      </c>
      <c r="B71" s="18">
        <v>2</v>
      </c>
      <c r="C71" s="18" t="s">
        <v>16</v>
      </c>
      <c r="D71" s="18">
        <v>2</v>
      </c>
      <c r="E71" s="19">
        <v>5832</v>
      </c>
      <c r="F71" s="18">
        <v>1.2</v>
      </c>
      <c r="G71" s="21">
        <v>6998.4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17">
        <v>41932</v>
      </c>
      <c r="B72" s="18">
        <v>1</v>
      </c>
      <c r="C72" s="18" t="s">
        <v>17</v>
      </c>
      <c r="D72" s="18">
        <v>3</v>
      </c>
      <c r="E72" s="19">
        <v>1890</v>
      </c>
      <c r="F72" s="18">
        <v>8.3000000000000007</v>
      </c>
      <c r="G72" s="21">
        <v>15687.000000000002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17">
        <v>41932</v>
      </c>
      <c r="B73" s="18">
        <v>2</v>
      </c>
      <c r="C73" s="18" t="s">
        <v>17</v>
      </c>
      <c r="D73" s="18">
        <v>3</v>
      </c>
      <c r="E73" s="19">
        <v>2538</v>
      </c>
      <c r="F73" s="18">
        <v>8.3000000000000007</v>
      </c>
      <c r="G73" s="21">
        <v>21065.4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17">
        <v>41939</v>
      </c>
      <c r="B74" s="18">
        <v>1</v>
      </c>
      <c r="C74" s="18" t="s">
        <v>16</v>
      </c>
      <c r="D74" s="18">
        <v>1</v>
      </c>
      <c r="E74" s="19">
        <v>2990</v>
      </c>
      <c r="F74" s="18">
        <v>2.2000000000000002</v>
      </c>
      <c r="G74" s="21">
        <v>6578.0000000000009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17">
        <v>41939</v>
      </c>
      <c r="B75" s="18">
        <v>1</v>
      </c>
      <c r="C75" s="18" t="s">
        <v>16</v>
      </c>
      <c r="D75" s="18">
        <v>2</v>
      </c>
      <c r="E75" s="19">
        <v>5490</v>
      </c>
      <c r="F75" s="18">
        <v>1.2</v>
      </c>
      <c r="G75" s="21">
        <v>6588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17">
        <v>41939</v>
      </c>
      <c r="B76" s="18">
        <v>2</v>
      </c>
      <c r="C76" s="18" t="s">
        <v>16</v>
      </c>
      <c r="D76" s="18">
        <v>1</v>
      </c>
      <c r="E76" s="19">
        <v>1470</v>
      </c>
      <c r="F76" s="18">
        <v>2.2000000000000002</v>
      </c>
      <c r="G76" s="21">
        <v>3234.0000000000005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17">
        <v>41939</v>
      </c>
      <c r="B77" s="18">
        <v>2</v>
      </c>
      <c r="C77" s="18" t="s">
        <v>16</v>
      </c>
      <c r="D77" s="18">
        <v>2</v>
      </c>
      <c r="E77" s="19">
        <v>5076</v>
      </c>
      <c r="F77" s="18">
        <v>1.2</v>
      </c>
      <c r="G77" s="21">
        <v>6091.2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17">
        <v>41939</v>
      </c>
      <c r="B78" s="18">
        <v>1</v>
      </c>
      <c r="C78" s="18" t="s">
        <v>17</v>
      </c>
      <c r="D78" s="18">
        <v>3</v>
      </c>
      <c r="E78" s="19">
        <v>2086</v>
      </c>
      <c r="F78" s="18">
        <v>8.3000000000000007</v>
      </c>
      <c r="G78" s="21">
        <v>17313.800000000003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17">
        <v>41939</v>
      </c>
      <c r="B79" s="18">
        <v>2</v>
      </c>
      <c r="C79" s="18" t="s">
        <v>17</v>
      </c>
      <c r="D79" s="18">
        <v>3</v>
      </c>
      <c r="E79" s="19">
        <v>2833</v>
      </c>
      <c r="F79" s="18">
        <v>8.3000000000000007</v>
      </c>
      <c r="G79" s="21">
        <v>23513.9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17">
        <v>41946</v>
      </c>
      <c r="B80" s="18">
        <v>1</v>
      </c>
      <c r="C80" s="18" t="s">
        <v>16</v>
      </c>
      <c r="D80" s="18">
        <v>1</v>
      </c>
      <c r="E80" s="19">
        <v>3493</v>
      </c>
      <c r="F80" s="18">
        <v>2.2000000000000002</v>
      </c>
      <c r="G80" s="21">
        <v>7684.6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17">
        <v>41946</v>
      </c>
      <c r="B81" s="18">
        <v>1</v>
      </c>
      <c r="C81" s="18" t="s">
        <v>16</v>
      </c>
      <c r="D81" s="18">
        <v>2</v>
      </c>
      <c r="E81" s="19">
        <v>5618</v>
      </c>
      <c r="F81" s="18">
        <v>1.2</v>
      </c>
      <c r="G81" s="21">
        <v>6741.5999999999995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17">
        <v>41946</v>
      </c>
      <c r="B82" s="18">
        <v>2</v>
      </c>
      <c r="C82" s="18" t="s">
        <v>16</v>
      </c>
      <c r="D82" s="18">
        <v>1</v>
      </c>
      <c r="E82" s="19">
        <v>2842</v>
      </c>
      <c r="F82" s="18">
        <v>2.2000000000000002</v>
      </c>
      <c r="G82" s="21">
        <v>6252.4000000000005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17">
        <v>41946</v>
      </c>
      <c r="B83" s="18">
        <v>2</v>
      </c>
      <c r="C83" s="18" t="s">
        <v>16</v>
      </c>
      <c r="D83" s="18">
        <v>2</v>
      </c>
      <c r="E83" s="19">
        <v>5293</v>
      </c>
      <c r="F83" s="18">
        <v>1.2</v>
      </c>
      <c r="G83" s="21">
        <v>6351.5999999999995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17">
        <v>41946</v>
      </c>
      <c r="B84" s="18">
        <v>1</v>
      </c>
      <c r="C84" s="18" t="s">
        <v>17</v>
      </c>
      <c r="D84" s="18">
        <v>3</v>
      </c>
      <c r="E84" s="19">
        <v>1966</v>
      </c>
      <c r="F84" s="18">
        <v>8.3000000000000007</v>
      </c>
      <c r="G84" s="21">
        <v>16317.800000000001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17">
        <v>41946</v>
      </c>
      <c r="B85" s="18">
        <v>2</v>
      </c>
      <c r="C85" s="18" t="s">
        <v>17</v>
      </c>
      <c r="D85" s="18">
        <v>3</v>
      </c>
      <c r="E85" s="19">
        <v>2353</v>
      </c>
      <c r="F85" s="18">
        <v>8.3000000000000007</v>
      </c>
      <c r="G85" s="21">
        <v>19529.900000000001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17">
        <v>41953</v>
      </c>
      <c r="B86" s="18">
        <v>1</v>
      </c>
      <c r="C86" s="18" t="s">
        <v>16</v>
      </c>
      <c r="D86" s="18">
        <v>1</v>
      </c>
      <c r="E86" s="19">
        <v>4838</v>
      </c>
      <c r="F86" s="18">
        <v>2.2000000000000002</v>
      </c>
      <c r="G86" s="21">
        <v>10643.6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17">
        <v>41953</v>
      </c>
      <c r="B87" s="18">
        <v>1</v>
      </c>
      <c r="C87" s="18" t="s">
        <v>16</v>
      </c>
      <c r="D87" s="18">
        <v>2</v>
      </c>
      <c r="E87" s="19">
        <v>6438</v>
      </c>
      <c r="F87" s="18">
        <v>1.2</v>
      </c>
      <c r="G87" s="21">
        <v>7725.5999999999995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17">
        <v>41953</v>
      </c>
      <c r="B88" s="18">
        <v>2</v>
      </c>
      <c r="C88" s="18" t="s">
        <v>16</v>
      </c>
      <c r="D88" s="18">
        <v>1</v>
      </c>
      <c r="E88" s="19">
        <v>3750</v>
      </c>
      <c r="F88" s="18">
        <v>2.2000000000000002</v>
      </c>
      <c r="G88" s="21">
        <v>8250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17">
        <v>41953</v>
      </c>
      <c r="B89" s="18">
        <v>2</v>
      </c>
      <c r="C89" s="18" t="s">
        <v>16</v>
      </c>
      <c r="D89" s="18">
        <v>2</v>
      </c>
      <c r="E89" s="19">
        <v>6325</v>
      </c>
      <c r="F89" s="18">
        <v>1.2</v>
      </c>
      <c r="G89" s="21">
        <v>7590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17">
        <v>41953</v>
      </c>
      <c r="B90" s="18">
        <v>1</v>
      </c>
      <c r="C90" s="18" t="s">
        <v>17</v>
      </c>
      <c r="D90" s="18">
        <v>3</v>
      </c>
      <c r="E90" s="19">
        <v>1875</v>
      </c>
      <c r="F90" s="18">
        <v>8.3000000000000007</v>
      </c>
      <c r="G90" s="21">
        <v>15562.500000000002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17">
        <v>41953</v>
      </c>
      <c r="B91" s="18">
        <v>2</v>
      </c>
      <c r="C91" s="18" t="s">
        <v>17</v>
      </c>
      <c r="D91" s="18">
        <v>3</v>
      </c>
      <c r="E91" s="19">
        <v>2515</v>
      </c>
      <c r="F91" s="18">
        <v>8.3000000000000007</v>
      </c>
      <c r="G91" s="21">
        <v>20874.5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17">
        <v>41960</v>
      </c>
      <c r="B92" s="18">
        <v>1</v>
      </c>
      <c r="C92" s="18" t="s">
        <v>16</v>
      </c>
      <c r="D92" s="18">
        <v>1</v>
      </c>
      <c r="E92" s="19">
        <v>3560</v>
      </c>
      <c r="F92" s="18">
        <v>2.2000000000000002</v>
      </c>
      <c r="G92" s="21">
        <v>7832.0000000000009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17">
        <v>41960</v>
      </c>
      <c r="B93" s="18">
        <v>1</v>
      </c>
      <c r="C93" s="18" t="s">
        <v>16</v>
      </c>
      <c r="D93" s="18">
        <v>2</v>
      </c>
      <c r="E93" s="19">
        <v>5746</v>
      </c>
      <c r="F93" s="18">
        <v>1.2</v>
      </c>
      <c r="G93" s="21">
        <v>6895.2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17">
        <v>41960</v>
      </c>
      <c r="B94" s="18">
        <v>2</v>
      </c>
      <c r="C94" s="18" t="s">
        <v>16</v>
      </c>
      <c r="D94" s="18">
        <v>1</v>
      </c>
      <c r="E94" s="19">
        <v>2293</v>
      </c>
      <c r="F94" s="18">
        <v>2.2000000000000002</v>
      </c>
      <c r="G94" s="21">
        <v>5044.6000000000004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17">
        <v>41960</v>
      </c>
      <c r="B95" s="18">
        <v>2</v>
      </c>
      <c r="C95" s="18" t="s">
        <v>16</v>
      </c>
      <c r="D95" s="18">
        <v>2</v>
      </c>
      <c r="E95" s="19">
        <v>6842</v>
      </c>
      <c r="F95" s="18">
        <v>1.2</v>
      </c>
      <c r="G95" s="21">
        <v>8210.4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17">
        <v>41960</v>
      </c>
      <c r="B96" s="18">
        <v>1</v>
      </c>
      <c r="C96" s="18" t="s">
        <v>17</v>
      </c>
      <c r="D96" s="18">
        <v>3</v>
      </c>
      <c r="E96" s="19">
        <v>1798</v>
      </c>
      <c r="F96" s="18">
        <v>8.3000000000000007</v>
      </c>
      <c r="G96" s="21">
        <v>14923.400000000001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17">
        <v>41960</v>
      </c>
      <c r="B97" s="18">
        <v>2</v>
      </c>
      <c r="C97" s="18" t="s">
        <v>17</v>
      </c>
      <c r="D97" s="18">
        <v>3</v>
      </c>
      <c r="E97" s="19">
        <v>1806</v>
      </c>
      <c r="F97" s="18">
        <v>8.3000000000000007</v>
      </c>
      <c r="G97" s="21">
        <v>14989.800000000001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17">
        <v>41967</v>
      </c>
      <c r="B98" s="18">
        <v>1</v>
      </c>
      <c r="C98" s="18" t="s">
        <v>16</v>
      </c>
      <c r="D98" s="18">
        <v>1</v>
      </c>
      <c r="E98" s="19">
        <v>4329</v>
      </c>
      <c r="F98" s="18">
        <v>2.2000000000000002</v>
      </c>
      <c r="G98" s="21">
        <v>9523.8000000000011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17">
        <v>41967</v>
      </c>
      <c r="B99" s="18">
        <v>1</v>
      </c>
      <c r="C99" s="18" t="s">
        <v>16</v>
      </c>
      <c r="D99" s="18">
        <v>2</v>
      </c>
      <c r="E99" s="19">
        <v>4950</v>
      </c>
      <c r="F99" s="18">
        <v>1.2</v>
      </c>
      <c r="G99" s="21">
        <v>5940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">
      <c r="A100" s="17">
        <v>41967</v>
      </c>
      <c r="B100" s="18">
        <v>2</v>
      </c>
      <c r="C100" s="18" t="s">
        <v>16</v>
      </c>
      <c r="D100" s="18">
        <v>1</v>
      </c>
      <c r="E100" s="19">
        <v>3295</v>
      </c>
      <c r="F100" s="18">
        <v>2.2000000000000002</v>
      </c>
      <c r="G100" s="21">
        <v>7249.0000000000009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17">
        <v>41967</v>
      </c>
      <c r="B101" s="18">
        <v>2</v>
      </c>
      <c r="C101" s="18" t="s">
        <v>16</v>
      </c>
      <c r="D101" s="18">
        <v>2</v>
      </c>
      <c r="E101" s="19">
        <v>4361</v>
      </c>
      <c r="F101" s="18">
        <v>1.2</v>
      </c>
      <c r="G101" s="21">
        <v>5233.2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17">
        <v>41967</v>
      </c>
      <c r="B102" s="18">
        <v>1</v>
      </c>
      <c r="C102" s="18" t="s">
        <v>17</v>
      </c>
      <c r="D102" s="18">
        <v>3</v>
      </c>
      <c r="E102" s="19">
        <v>1927</v>
      </c>
      <c r="F102" s="18">
        <v>8.3000000000000007</v>
      </c>
      <c r="G102" s="21">
        <v>15994.100000000002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17">
        <v>41967</v>
      </c>
      <c r="B103" s="18">
        <v>2</v>
      </c>
      <c r="C103" s="18" t="s">
        <v>17</v>
      </c>
      <c r="D103" s="18">
        <v>3</v>
      </c>
      <c r="E103" s="19">
        <v>2000</v>
      </c>
      <c r="F103" s="18">
        <v>8.3000000000000007</v>
      </c>
      <c r="G103" s="21">
        <v>16600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17">
        <v>41974</v>
      </c>
      <c r="B104" s="18">
        <v>1</v>
      </c>
      <c r="C104" s="18" t="s">
        <v>16</v>
      </c>
      <c r="D104" s="18">
        <v>1</v>
      </c>
      <c r="E104" s="19">
        <v>4937</v>
      </c>
      <c r="F104" s="18">
        <v>2.2000000000000002</v>
      </c>
      <c r="G104" s="21">
        <v>10861.400000000001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17">
        <v>41974</v>
      </c>
      <c r="B105" s="18">
        <v>1</v>
      </c>
      <c r="C105" s="18" t="s">
        <v>16</v>
      </c>
      <c r="D105" s="18">
        <v>2</v>
      </c>
      <c r="E105" s="19">
        <v>5084</v>
      </c>
      <c r="F105" s="18">
        <v>1.2</v>
      </c>
      <c r="G105" s="21">
        <v>6100.8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17">
        <v>41974</v>
      </c>
      <c r="B106" s="18">
        <v>2</v>
      </c>
      <c r="C106" s="18" t="s">
        <v>16</v>
      </c>
      <c r="D106" s="18">
        <v>1</v>
      </c>
      <c r="E106" s="19">
        <v>4132</v>
      </c>
      <c r="F106" s="18">
        <v>2.2000000000000002</v>
      </c>
      <c r="G106" s="21">
        <v>9090.4000000000015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17">
        <v>41974</v>
      </c>
      <c r="B107" s="18">
        <v>2</v>
      </c>
      <c r="C107" s="18" t="s">
        <v>16</v>
      </c>
      <c r="D107" s="18">
        <v>2</v>
      </c>
      <c r="E107" s="19">
        <v>5987</v>
      </c>
      <c r="F107" s="18">
        <v>1.2</v>
      </c>
      <c r="G107" s="21">
        <v>7184.4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17">
        <v>41974</v>
      </c>
      <c r="B108" s="18">
        <v>1</v>
      </c>
      <c r="C108" s="18" t="s">
        <v>17</v>
      </c>
      <c r="D108" s="18">
        <v>3</v>
      </c>
      <c r="E108" s="19">
        <v>1914</v>
      </c>
      <c r="F108" s="18">
        <v>8.3000000000000007</v>
      </c>
      <c r="G108" s="21">
        <v>15886.2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17">
        <v>41974</v>
      </c>
      <c r="B109" s="18">
        <v>2</v>
      </c>
      <c r="C109" s="18" t="s">
        <v>17</v>
      </c>
      <c r="D109" s="18">
        <v>3</v>
      </c>
      <c r="E109" s="19">
        <v>2278</v>
      </c>
      <c r="F109" s="18">
        <v>8.3000000000000007</v>
      </c>
      <c r="G109" s="21">
        <v>18907.400000000001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17">
        <v>41981</v>
      </c>
      <c r="B110" s="18">
        <v>1</v>
      </c>
      <c r="C110" s="18" t="s">
        <v>16</v>
      </c>
      <c r="D110" s="18">
        <v>1</v>
      </c>
      <c r="E110" s="19">
        <v>4361</v>
      </c>
      <c r="F110" s="18">
        <v>2.2000000000000002</v>
      </c>
      <c r="G110" s="21">
        <v>9594.2000000000007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17">
        <v>41981</v>
      </c>
      <c r="B111" s="18">
        <v>1</v>
      </c>
      <c r="C111" s="18" t="s">
        <v>16</v>
      </c>
      <c r="D111" s="18">
        <v>2</v>
      </c>
      <c r="E111" s="19">
        <v>4650</v>
      </c>
      <c r="F111" s="18">
        <v>1.2</v>
      </c>
      <c r="G111" s="21">
        <v>5580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17">
        <v>41981</v>
      </c>
      <c r="B112" s="18">
        <v>2</v>
      </c>
      <c r="C112" s="18" t="s">
        <v>16</v>
      </c>
      <c r="D112" s="18">
        <v>1</v>
      </c>
      <c r="E112" s="19">
        <v>3325</v>
      </c>
      <c r="F112" s="18">
        <v>2.2000000000000002</v>
      </c>
      <c r="G112" s="21">
        <v>7315.0000000000009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17">
        <v>41981</v>
      </c>
      <c r="B113" s="18">
        <v>2</v>
      </c>
      <c r="C113" s="18" t="s">
        <v>16</v>
      </c>
      <c r="D113" s="18">
        <v>2</v>
      </c>
      <c r="E113" s="19">
        <v>3986</v>
      </c>
      <c r="F113" s="18">
        <v>1.2</v>
      </c>
      <c r="G113" s="21">
        <v>4783.2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17">
        <v>41981</v>
      </c>
      <c r="B114" s="18">
        <v>1</v>
      </c>
      <c r="C114" s="18" t="s">
        <v>17</v>
      </c>
      <c r="D114" s="18">
        <v>3</v>
      </c>
      <c r="E114" s="19">
        <v>1786</v>
      </c>
      <c r="F114" s="18">
        <v>8.3000000000000007</v>
      </c>
      <c r="G114" s="21">
        <v>14823.800000000001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17">
        <v>41981</v>
      </c>
      <c r="B115" s="18">
        <v>2</v>
      </c>
      <c r="C115" s="18" t="s">
        <v>17</v>
      </c>
      <c r="D115" s="18">
        <v>3</v>
      </c>
      <c r="E115" s="19">
        <v>2386</v>
      </c>
      <c r="F115" s="18">
        <v>8.3000000000000007</v>
      </c>
      <c r="G115" s="21">
        <v>19803.800000000003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17">
        <v>41988</v>
      </c>
      <c r="B116" s="18">
        <v>1</v>
      </c>
      <c r="C116" s="18" t="s">
        <v>16</v>
      </c>
      <c r="D116" s="18">
        <v>1</v>
      </c>
      <c r="E116" s="19">
        <v>4569</v>
      </c>
      <c r="F116" s="18">
        <v>2.2000000000000002</v>
      </c>
      <c r="G116" s="21">
        <v>10051.800000000001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17">
        <v>41988</v>
      </c>
      <c r="B117" s="18">
        <v>1</v>
      </c>
      <c r="C117" s="18" t="s">
        <v>16</v>
      </c>
      <c r="D117" s="18">
        <v>2</v>
      </c>
      <c r="E117" s="19">
        <v>5874</v>
      </c>
      <c r="F117" s="18">
        <v>1.2</v>
      </c>
      <c r="G117" s="21">
        <v>7048.8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17">
        <v>41988</v>
      </c>
      <c r="B118" s="18">
        <v>2</v>
      </c>
      <c r="C118" s="18" t="s">
        <v>16</v>
      </c>
      <c r="D118" s="18">
        <v>1</v>
      </c>
      <c r="E118" s="19">
        <v>3508</v>
      </c>
      <c r="F118" s="18">
        <v>2.2000000000000002</v>
      </c>
      <c r="G118" s="21">
        <v>7717.6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17">
        <v>41988</v>
      </c>
      <c r="B119" s="18">
        <v>2</v>
      </c>
      <c r="C119" s="18" t="s">
        <v>16</v>
      </c>
      <c r="D119" s="18">
        <v>2</v>
      </c>
      <c r="E119" s="19">
        <v>5610</v>
      </c>
      <c r="F119" s="18">
        <v>1.2</v>
      </c>
      <c r="G119" s="21">
        <v>6732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17">
        <v>41988</v>
      </c>
      <c r="B120" s="18">
        <v>1</v>
      </c>
      <c r="C120" s="18" t="s">
        <v>17</v>
      </c>
      <c r="D120" s="18">
        <v>3</v>
      </c>
      <c r="E120" s="19">
        <v>2056</v>
      </c>
      <c r="F120" s="18">
        <v>8.3000000000000007</v>
      </c>
      <c r="G120" s="21">
        <v>17064.800000000003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17">
        <v>41988</v>
      </c>
      <c r="B121" s="18">
        <v>2</v>
      </c>
      <c r="C121" s="18" t="s">
        <v>17</v>
      </c>
      <c r="D121" s="18">
        <v>3</v>
      </c>
      <c r="E121" s="19">
        <v>2191</v>
      </c>
      <c r="F121" s="18">
        <v>8.3000000000000007</v>
      </c>
      <c r="G121" s="21">
        <v>18185.300000000003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17">
        <v>41995</v>
      </c>
      <c r="B122" s="18">
        <v>1</v>
      </c>
      <c r="C122" s="18" t="s">
        <v>16</v>
      </c>
      <c r="D122" s="18">
        <v>1</v>
      </c>
      <c r="E122" s="19">
        <v>4301</v>
      </c>
      <c r="F122" s="18">
        <v>2.2000000000000002</v>
      </c>
      <c r="G122" s="21">
        <v>9462.2000000000007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17">
        <v>41995</v>
      </c>
      <c r="B123" s="18">
        <v>1</v>
      </c>
      <c r="C123" s="18" t="s">
        <v>16</v>
      </c>
      <c r="D123" s="18">
        <v>2</v>
      </c>
      <c r="E123" s="19">
        <v>5962</v>
      </c>
      <c r="F123" s="18">
        <v>1.2</v>
      </c>
      <c r="G123" s="21">
        <v>7154.4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17">
        <v>41995</v>
      </c>
      <c r="B124" s="18">
        <v>2</v>
      </c>
      <c r="C124" s="18" t="s">
        <v>16</v>
      </c>
      <c r="D124" s="18">
        <v>1</v>
      </c>
      <c r="E124" s="19">
        <v>3558</v>
      </c>
      <c r="F124" s="18">
        <v>2.2000000000000002</v>
      </c>
      <c r="G124" s="21">
        <v>7827.6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17">
        <v>41995</v>
      </c>
      <c r="B125" s="18">
        <v>2</v>
      </c>
      <c r="C125" s="18" t="s">
        <v>16</v>
      </c>
      <c r="D125" s="18">
        <v>2</v>
      </c>
      <c r="E125" s="19">
        <v>7093</v>
      </c>
      <c r="F125" s="18">
        <v>1.2</v>
      </c>
      <c r="G125" s="21">
        <v>8511.6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17">
        <v>41995</v>
      </c>
      <c r="B126" s="18">
        <v>1</v>
      </c>
      <c r="C126" s="18" t="s">
        <v>17</v>
      </c>
      <c r="D126" s="18">
        <v>3</v>
      </c>
      <c r="E126" s="19">
        <v>2118</v>
      </c>
      <c r="F126" s="18">
        <v>8.3000000000000007</v>
      </c>
      <c r="G126" s="21">
        <v>17579.400000000001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17">
        <v>41995</v>
      </c>
      <c r="B127" s="18">
        <v>2</v>
      </c>
      <c r="C127" s="18" t="s">
        <v>17</v>
      </c>
      <c r="D127" s="18">
        <v>3</v>
      </c>
      <c r="E127" s="19">
        <v>2582</v>
      </c>
      <c r="F127" s="18">
        <v>8.3000000000000007</v>
      </c>
      <c r="G127" s="21">
        <v>21430.600000000002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17">
        <v>42002</v>
      </c>
      <c r="B128" s="18">
        <v>1</v>
      </c>
      <c r="C128" s="18" t="s">
        <v>16</v>
      </c>
      <c r="D128" s="18">
        <v>1</v>
      </c>
      <c r="E128" s="19">
        <v>5106</v>
      </c>
      <c r="F128" s="18">
        <v>2.2000000000000002</v>
      </c>
      <c r="G128" s="21">
        <v>11233.2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17">
        <v>42002</v>
      </c>
      <c r="B129" s="18">
        <v>1</v>
      </c>
      <c r="C129" s="18" t="s">
        <v>16</v>
      </c>
      <c r="D129" s="18">
        <v>2</v>
      </c>
      <c r="E129" s="19">
        <v>6522</v>
      </c>
      <c r="F129" s="18">
        <v>1.2</v>
      </c>
      <c r="G129" s="21">
        <v>7826.4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17">
        <v>42002</v>
      </c>
      <c r="B130" s="18">
        <v>2</v>
      </c>
      <c r="C130" s="18" t="s">
        <v>16</v>
      </c>
      <c r="D130" s="18">
        <v>1</v>
      </c>
      <c r="E130" s="19">
        <v>4294</v>
      </c>
      <c r="F130" s="18">
        <v>2.2000000000000002</v>
      </c>
      <c r="G130" s="21">
        <v>9446.8000000000011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17">
        <v>42002</v>
      </c>
      <c r="B131" s="18">
        <v>2</v>
      </c>
      <c r="C131" s="18" t="s">
        <v>16</v>
      </c>
      <c r="D131" s="18">
        <v>2</v>
      </c>
      <c r="E131" s="19">
        <v>7873</v>
      </c>
      <c r="F131" s="18">
        <v>1.2</v>
      </c>
      <c r="G131" s="21">
        <v>9447.6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17">
        <v>42002</v>
      </c>
      <c r="B132" s="18">
        <v>1</v>
      </c>
      <c r="C132" s="18" t="s">
        <v>17</v>
      </c>
      <c r="D132" s="18">
        <v>3</v>
      </c>
      <c r="E132" s="19">
        <v>2102</v>
      </c>
      <c r="F132" s="18">
        <v>8.3000000000000007</v>
      </c>
      <c r="G132" s="21">
        <v>17446.600000000002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17">
        <v>42002</v>
      </c>
      <c r="B133" s="18">
        <v>2</v>
      </c>
      <c r="C133" s="18" t="s">
        <v>17</v>
      </c>
      <c r="D133" s="18">
        <v>3</v>
      </c>
      <c r="E133" s="19">
        <v>2855</v>
      </c>
      <c r="F133" s="18">
        <v>8.3000000000000007</v>
      </c>
      <c r="G133" s="21">
        <v>23696.500000000004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17">
        <v>42009</v>
      </c>
      <c r="B134" s="18">
        <v>1</v>
      </c>
      <c r="C134" s="18" t="s">
        <v>16</v>
      </c>
      <c r="D134" s="18">
        <v>1</v>
      </c>
      <c r="E134" s="19">
        <v>4702</v>
      </c>
      <c r="F134" s="18">
        <v>2.2000000000000002</v>
      </c>
      <c r="G134" s="21">
        <v>10344.400000000001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17">
        <v>42009</v>
      </c>
      <c r="B135" s="18">
        <v>1</v>
      </c>
      <c r="C135" s="18" t="s">
        <v>16</v>
      </c>
      <c r="D135" s="18">
        <v>2</v>
      </c>
      <c r="E135" s="19">
        <v>5550</v>
      </c>
      <c r="F135" s="18">
        <v>1.2</v>
      </c>
      <c r="G135" s="21">
        <v>6660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17">
        <v>42009</v>
      </c>
      <c r="B136" s="18">
        <v>2</v>
      </c>
      <c r="C136" s="18" t="s">
        <v>16</v>
      </c>
      <c r="D136" s="18">
        <v>1</v>
      </c>
      <c r="E136" s="19">
        <v>3319</v>
      </c>
      <c r="F136" s="18">
        <v>2.2000000000000002</v>
      </c>
      <c r="G136" s="21">
        <v>7301.8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17">
        <v>42009</v>
      </c>
      <c r="B137" s="18">
        <v>2</v>
      </c>
      <c r="C137" s="18" t="s">
        <v>16</v>
      </c>
      <c r="D137" s="18">
        <v>2</v>
      </c>
      <c r="E137" s="19">
        <v>5863</v>
      </c>
      <c r="F137" s="18">
        <v>1.2</v>
      </c>
      <c r="G137" s="21">
        <v>7035.5999999999995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17">
        <v>42009</v>
      </c>
      <c r="B138" s="18">
        <v>1</v>
      </c>
      <c r="C138" s="18" t="s">
        <v>17</v>
      </c>
      <c r="D138" s="18">
        <v>3</v>
      </c>
      <c r="E138" s="19">
        <v>2330</v>
      </c>
      <c r="F138" s="18">
        <v>8.3000000000000007</v>
      </c>
      <c r="G138" s="21">
        <v>19339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17">
        <v>42009</v>
      </c>
      <c r="B139" s="18">
        <v>2</v>
      </c>
      <c r="C139" s="18" t="s">
        <v>17</v>
      </c>
      <c r="D139" s="18">
        <v>3</v>
      </c>
      <c r="E139" s="19">
        <v>2898</v>
      </c>
      <c r="F139" s="18">
        <v>8.3000000000000007</v>
      </c>
      <c r="G139" s="21">
        <v>24053.4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17">
        <v>42016</v>
      </c>
      <c r="B140" s="18">
        <v>1</v>
      </c>
      <c r="C140" s="18" t="s">
        <v>16</v>
      </c>
      <c r="D140" s="18">
        <v>1</v>
      </c>
      <c r="E140" s="19">
        <v>4031</v>
      </c>
      <c r="F140" s="18">
        <v>2.2000000000000002</v>
      </c>
      <c r="G140" s="21">
        <v>8868.2000000000007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17">
        <v>42016</v>
      </c>
      <c r="B141" s="18">
        <v>1</v>
      </c>
      <c r="C141" s="18" t="s">
        <v>16</v>
      </c>
      <c r="D141" s="18">
        <v>2</v>
      </c>
      <c r="E141" s="19">
        <v>4210</v>
      </c>
      <c r="F141" s="18">
        <v>1.2</v>
      </c>
      <c r="G141" s="21">
        <v>5052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17">
        <v>42016</v>
      </c>
      <c r="B142" s="18">
        <v>2</v>
      </c>
      <c r="C142" s="18" t="s">
        <v>16</v>
      </c>
      <c r="D142" s="18">
        <v>1</v>
      </c>
      <c r="E142" s="19">
        <v>3024</v>
      </c>
      <c r="F142" s="18">
        <v>2.2000000000000002</v>
      </c>
      <c r="G142" s="21">
        <v>6652.8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17">
        <v>42016</v>
      </c>
      <c r="B143" s="18">
        <v>2</v>
      </c>
      <c r="C143" s="18" t="s">
        <v>16</v>
      </c>
      <c r="D143" s="18">
        <v>2</v>
      </c>
      <c r="E143" s="19">
        <v>3410</v>
      </c>
      <c r="F143" s="18">
        <v>1.2</v>
      </c>
      <c r="G143" s="21">
        <v>4092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17">
        <v>42016</v>
      </c>
      <c r="B144" s="18">
        <v>1</v>
      </c>
      <c r="C144" s="18" t="s">
        <v>17</v>
      </c>
      <c r="D144" s="18">
        <v>3</v>
      </c>
      <c r="E144" s="19">
        <v>1754</v>
      </c>
      <c r="F144" s="18">
        <v>8.3000000000000007</v>
      </c>
      <c r="G144" s="21">
        <v>14558.2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17">
        <v>42016</v>
      </c>
      <c r="B145" s="18">
        <v>2</v>
      </c>
      <c r="C145" s="18" t="s">
        <v>17</v>
      </c>
      <c r="D145" s="18">
        <v>3</v>
      </c>
      <c r="E145" s="19">
        <v>1742</v>
      </c>
      <c r="F145" s="18">
        <v>8.3000000000000007</v>
      </c>
      <c r="G145" s="21">
        <v>14458.6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17">
        <v>42023</v>
      </c>
      <c r="B146" s="18">
        <v>1</v>
      </c>
      <c r="C146" s="18" t="s">
        <v>16</v>
      </c>
      <c r="D146" s="18">
        <v>1</v>
      </c>
      <c r="E146" s="19">
        <v>4338</v>
      </c>
      <c r="F146" s="18">
        <v>2.2000000000000002</v>
      </c>
      <c r="G146" s="21">
        <v>9543.6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17">
        <v>42023</v>
      </c>
      <c r="B147" s="18">
        <v>1</v>
      </c>
      <c r="C147" s="18" t="s">
        <v>16</v>
      </c>
      <c r="D147" s="18">
        <v>2</v>
      </c>
      <c r="E147" s="19">
        <v>4227</v>
      </c>
      <c r="F147" s="18">
        <v>1.2</v>
      </c>
      <c r="G147" s="21">
        <v>5072.3999999999996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17">
        <v>42023</v>
      </c>
      <c r="B148" s="18">
        <v>2</v>
      </c>
      <c r="C148" s="18" t="s">
        <v>16</v>
      </c>
      <c r="D148" s="18">
        <v>1</v>
      </c>
      <c r="E148" s="19">
        <v>2688</v>
      </c>
      <c r="F148" s="18">
        <v>2.2000000000000002</v>
      </c>
      <c r="G148" s="21">
        <v>5913.6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17">
        <v>42023</v>
      </c>
      <c r="B149" s="18">
        <v>2</v>
      </c>
      <c r="C149" s="18" t="s">
        <v>16</v>
      </c>
      <c r="D149" s="18">
        <v>2</v>
      </c>
      <c r="E149" s="19">
        <v>4862</v>
      </c>
      <c r="F149" s="18">
        <v>1.2</v>
      </c>
      <c r="G149" s="21">
        <v>5834.4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17">
        <v>42023</v>
      </c>
      <c r="B150" s="18">
        <v>1</v>
      </c>
      <c r="C150" s="18" t="s">
        <v>17</v>
      </c>
      <c r="D150" s="18">
        <v>3</v>
      </c>
      <c r="E150" s="19">
        <v>1514</v>
      </c>
      <c r="F150" s="18">
        <v>8.3000000000000007</v>
      </c>
      <c r="G150" s="21">
        <v>12566.2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17">
        <v>42023</v>
      </c>
      <c r="B151" s="18">
        <v>2</v>
      </c>
      <c r="C151" s="18" t="s">
        <v>17</v>
      </c>
      <c r="D151" s="18">
        <v>3</v>
      </c>
      <c r="E151" s="19">
        <v>1973</v>
      </c>
      <c r="F151" s="18">
        <v>8.3000000000000007</v>
      </c>
      <c r="G151" s="21">
        <v>16375.900000000001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17">
        <v>42030</v>
      </c>
      <c r="B152" s="18">
        <v>1</v>
      </c>
      <c r="C152" s="18" t="s">
        <v>16</v>
      </c>
      <c r="D152" s="18">
        <v>1</v>
      </c>
      <c r="E152" s="19">
        <v>4495</v>
      </c>
      <c r="F152" s="18">
        <v>2.2000000000000002</v>
      </c>
      <c r="G152" s="21">
        <v>9889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17">
        <v>42030</v>
      </c>
      <c r="B153" s="18">
        <v>1</v>
      </c>
      <c r="C153" s="18" t="s">
        <v>16</v>
      </c>
      <c r="D153" s="18">
        <v>2</v>
      </c>
      <c r="E153" s="19">
        <v>5337</v>
      </c>
      <c r="F153" s="18">
        <v>1.2</v>
      </c>
      <c r="G153" s="21">
        <v>6404.4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17">
        <v>42030</v>
      </c>
      <c r="B154" s="18">
        <v>2</v>
      </c>
      <c r="C154" s="18" t="s">
        <v>16</v>
      </c>
      <c r="D154" s="18">
        <v>1</v>
      </c>
      <c r="E154" s="19">
        <v>3448</v>
      </c>
      <c r="F154" s="18">
        <v>2.2000000000000002</v>
      </c>
      <c r="G154" s="21">
        <v>7585.6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17">
        <v>42030</v>
      </c>
      <c r="B155" s="18">
        <v>2</v>
      </c>
      <c r="C155" s="18" t="s">
        <v>16</v>
      </c>
      <c r="D155" s="18">
        <v>2</v>
      </c>
      <c r="E155" s="19">
        <v>5568</v>
      </c>
      <c r="F155" s="18">
        <v>1.2</v>
      </c>
      <c r="G155" s="21">
        <v>6681.5999999999995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17">
        <v>42030</v>
      </c>
      <c r="B156" s="18">
        <v>1</v>
      </c>
      <c r="C156" s="18" t="s">
        <v>17</v>
      </c>
      <c r="D156" s="18">
        <v>3</v>
      </c>
      <c r="E156" s="19">
        <v>1742</v>
      </c>
      <c r="F156" s="18">
        <v>8.3000000000000007</v>
      </c>
      <c r="G156" s="21">
        <v>14458.6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17">
        <v>42030</v>
      </c>
      <c r="B157" s="18">
        <v>2</v>
      </c>
      <c r="C157" s="18" t="s">
        <v>17</v>
      </c>
      <c r="D157" s="18">
        <v>3</v>
      </c>
      <c r="E157" s="19">
        <v>2311</v>
      </c>
      <c r="F157" s="18">
        <v>8.3000000000000007</v>
      </c>
      <c r="G157" s="21">
        <v>19181.300000000003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17">
        <v>42037</v>
      </c>
      <c r="B158" s="18">
        <v>1</v>
      </c>
      <c r="C158" s="18" t="s">
        <v>16</v>
      </c>
      <c r="D158" s="18">
        <v>1</v>
      </c>
      <c r="E158" s="19">
        <v>4174</v>
      </c>
      <c r="F158" s="18">
        <v>2.2000000000000002</v>
      </c>
      <c r="G158" s="21">
        <v>9182.8000000000011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17">
        <v>42037</v>
      </c>
      <c r="B159" s="18">
        <v>1</v>
      </c>
      <c r="C159" s="18" t="s">
        <v>16</v>
      </c>
      <c r="D159" s="18">
        <v>2</v>
      </c>
      <c r="E159" s="19">
        <v>5324</v>
      </c>
      <c r="F159" s="18">
        <v>1.2</v>
      </c>
      <c r="G159" s="21">
        <v>6388.8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17">
        <v>42037</v>
      </c>
      <c r="B160" s="18">
        <v>2</v>
      </c>
      <c r="C160" s="18" t="s">
        <v>16</v>
      </c>
      <c r="D160" s="18">
        <v>1</v>
      </c>
      <c r="E160" s="19">
        <v>2843</v>
      </c>
      <c r="F160" s="18">
        <v>2.2000000000000002</v>
      </c>
      <c r="G160" s="21">
        <v>6254.6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17">
        <v>42037</v>
      </c>
      <c r="B161" s="18">
        <v>2</v>
      </c>
      <c r="C161" s="18" t="s">
        <v>16</v>
      </c>
      <c r="D161" s="18">
        <v>2</v>
      </c>
      <c r="E161" s="19">
        <v>6268</v>
      </c>
      <c r="F161" s="18">
        <v>1.2</v>
      </c>
      <c r="G161" s="21">
        <v>7521.5999999999995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17">
        <v>42037</v>
      </c>
      <c r="B162" s="18">
        <v>1</v>
      </c>
      <c r="C162" s="18" t="s">
        <v>17</v>
      </c>
      <c r="D162" s="18">
        <v>3</v>
      </c>
      <c r="E162" s="19">
        <v>1971</v>
      </c>
      <c r="F162" s="18">
        <v>8.3000000000000007</v>
      </c>
      <c r="G162" s="21">
        <v>16359.300000000001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17">
        <v>42037</v>
      </c>
      <c r="B163" s="18">
        <v>2</v>
      </c>
      <c r="C163" s="18" t="s">
        <v>17</v>
      </c>
      <c r="D163" s="18">
        <v>3</v>
      </c>
      <c r="E163" s="19">
        <v>2065</v>
      </c>
      <c r="F163" s="18">
        <v>8.3000000000000007</v>
      </c>
      <c r="G163" s="21">
        <v>17139.5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17">
        <v>42044</v>
      </c>
      <c r="B164" s="18">
        <v>1</v>
      </c>
      <c r="C164" s="18" t="s">
        <v>16</v>
      </c>
      <c r="D164" s="18">
        <v>1</v>
      </c>
      <c r="E164" s="19">
        <v>4882</v>
      </c>
      <c r="F164" s="18">
        <v>2.2000000000000002</v>
      </c>
      <c r="G164" s="21">
        <v>10740.400000000001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17">
        <v>42044</v>
      </c>
      <c r="B165" s="18">
        <v>1</v>
      </c>
      <c r="C165" s="18" t="s">
        <v>16</v>
      </c>
      <c r="D165" s="18">
        <v>2</v>
      </c>
      <c r="E165" s="19">
        <v>5559</v>
      </c>
      <c r="F165" s="18">
        <v>1.2</v>
      </c>
      <c r="G165" s="21">
        <v>6670.8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17">
        <v>42044</v>
      </c>
      <c r="B166" s="18">
        <v>2</v>
      </c>
      <c r="C166" s="18" t="s">
        <v>16</v>
      </c>
      <c r="D166" s="18">
        <v>1</v>
      </c>
      <c r="E166" s="19">
        <v>4081</v>
      </c>
      <c r="F166" s="18">
        <v>2.2000000000000002</v>
      </c>
      <c r="G166" s="21">
        <v>8978.2000000000007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17">
        <v>42044</v>
      </c>
      <c r="B167" s="18">
        <v>2</v>
      </c>
      <c r="C167" s="18" t="s">
        <v>16</v>
      </c>
      <c r="D167" s="18">
        <v>2</v>
      </c>
      <c r="E167" s="19">
        <v>5892</v>
      </c>
      <c r="F167" s="18">
        <v>1.2</v>
      </c>
      <c r="G167" s="21">
        <v>7070.4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17">
        <v>42044</v>
      </c>
      <c r="B168" s="18">
        <v>1</v>
      </c>
      <c r="C168" s="18" t="s">
        <v>17</v>
      </c>
      <c r="D168" s="18">
        <v>3</v>
      </c>
      <c r="E168" s="19">
        <v>2174</v>
      </c>
      <c r="F168" s="18">
        <v>8.3000000000000007</v>
      </c>
      <c r="G168" s="21">
        <v>18044.2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17">
        <v>42044</v>
      </c>
      <c r="B169" s="18">
        <v>2</v>
      </c>
      <c r="C169" s="18" t="s">
        <v>17</v>
      </c>
      <c r="D169" s="18">
        <v>3</v>
      </c>
      <c r="E169" s="19">
        <v>2669</v>
      </c>
      <c r="F169" s="18">
        <v>8.3000000000000007</v>
      </c>
      <c r="G169" s="21">
        <v>22152.7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17">
        <v>42051</v>
      </c>
      <c r="B170" s="18">
        <v>1</v>
      </c>
      <c r="C170" s="18" t="s">
        <v>16</v>
      </c>
      <c r="D170" s="18">
        <v>1</v>
      </c>
      <c r="E170" s="19">
        <v>4099</v>
      </c>
      <c r="F170" s="18">
        <v>2.2000000000000002</v>
      </c>
      <c r="G170" s="21">
        <v>9017.8000000000011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17">
        <v>42051</v>
      </c>
      <c r="B171" s="18">
        <v>1</v>
      </c>
      <c r="C171" s="18" t="s">
        <v>16</v>
      </c>
      <c r="D171" s="18">
        <v>2</v>
      </c>
      <c r="E171" s="19">
        <v>4954</v>
      </c>
      <c r="F171" s="18">
        <v>1.2</v>
      </c>
      <c r="G171" s="21">
        <v>5944.8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17">
        <v>42051</v>
      </c>
      <c r="B172" s="18">
        <v>2</v>
      </c>
      <c r="C172" s="18" t="s">
        <v>16</v>
      </c>
      <c r="D172" s="18">
        <v>1</v>
      </c>
      <c r="E172" s="19">
        <v>3390</v>
      </c>
      <c r="F172" s="18">
        <v>2.2000000000000002</v>
      </c>
      <c r="G172" s="21">
        <v>7458.0000000000009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17">
        <v>42051</v>
      </c>
      <c r="B173" s="18">
        <v>2</v>
      </c>
      <c r="C173" s="18" t="s">
        <v>16</v>
      </c>
      <c r="D173" s="18">
        <v>2</v>
      </c>
      <c r="E173" s="19">
        <v>4390</v>
      </c>
      <c r="F173" s="18">
        <v>1.2</v>
      </c>
      <c r="G173" s="21">
        <v>5268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17">
        <v>42051</v>
      </c>
      <c r="B174" s="18">
        <v>1</v>
      </c>
      <c r="C174" s="18" t="s">
        <v>17</v>
      </c>
      <c r="D174" s="18">
        <v>3</v>
      </c>
      <c r="E174" s="19">
        <v>2338</v>
      </c>
      <c r="F174" s="18">
        <v>8.3000000000000007</v>
      </c>
      <c r="G174" s="21">
        <v>19405.400000000001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17">
        <v>42051</v>
      </c>
      <c r="B175" s="18">
        <v>2</v>
      </c>
      <c r="C175" s="18" t="s">
        <v>17</v>
      </c>
      <c r="D175" s="18">
        <v>3</v>
      </c>
      <c r="E175" s="19">
        <v>3206</v>
      </c>
      <c r="F175" s="18">
        <v>8.3000000000000007</v>
      </c>
      <c r="G175" s="21">
        <v>26609.800000000003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17">
        <v>42058</v>
      </c>
      <c r="B176" s="18">
        <v>1</v>
      </c>
      <c r="C176" s="18" t="s">
        <v>16</v>
      </c>
      <c r="D176" s="18">
        <v>1</v>
      </c>
      <c r="E176" s="19">
        <v>4059</v>
      </c>
      <c r="F176" s="18">
        <v>2.2000000000000002</v>
      </c>
      <c r="G176" s="21">
        <v>8929.8000000000011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17">
        <v>42058</v>
      </c>
      <c r="B177" s="18">
        <v>1</v>
      </c>
      <c r="C177" s="18" t="s">
        <v>16</v>
      </c>
      <c r="D177" s="18">
        <v>2</v>
      </c>
      <c r="E177" s="19">
        <v>5290</v>
      </c>
      <c r="F177" s="18">
        <v>1.2</v>
      </c>
      <c r="G177" s="21">
        <v>6348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17">
        <v>42058</v>
      </c>
      <c r="B178" s="18">
        <v>2</v>
      </c>
      <c r="C178" s="18" t="s">
        <v>16</v>
      </c>
      <c r="D178" s="18">
        <v>1</v>
      </c>
      <c r="E178" s="19">
        <v>2438</v>
      </c>
      <c r="F178" s="18">
        <v>2.2000000000000002</v>
      </c>
      <c r="G178" s="21">
        <v>5363.6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17">
        <v>42058</v>
      </c>
      <c r="B179" s="18">
        <v>2</v>
      </c>
      <c r="C179" s="18" t="s">
        <v>16</v>
      </c>
      <c r="D179" s="18">
        <v>2</v>
      </c>
      <c r="E179" s="19">
        <v>4835</v>
      </c>
      <c r="F179" s="18">
        <v>1.2</v>
      </c>
      <c r="G179" s="21">
        <v>5802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17">
        <v>42058</v>
      </c>
      <c r="B180" s="18">
        <v>1</v>
      </c>
      <c r="C180" s="18" t="s">
        <v>17</v>
      </c>
      <c r="D180" s="18">
        <v>3</v>
      </c>
      <c r="E180" s="19">
        <v>2070</v>
      </c>
      <c r="F180" s="18">
        <v>8.3000000000000007</v>
      </c>
      <c r="G180" s="21">
        <v>17181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17">
        <v>42058</v>
      </c>
      <c r="B181" s="18">
        <v>2</v>
      </c>
      <c r="C181" s="18" t="s">
        <v>17</v>
      </c>
      <c r="D181" s="18">
        <v>3</v>
      </c>
      <c r="E181" s="19">
        <v>2514</v>
      </c>
      <c r="F181" s="18">
        <v>8.3000000000000007</v>
      </c>
      <c r="G181" s="21">
        <v>20866.2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17">
        <v>42065</v>
      </c>
      <c r="B182" s="18">
        <v>1</v>
      </c>
      <c r="C182" s="18" t="s">
        <v>16</v>
      </c>
      <c r="D182" s="18">
        <v>1</v>
      </c>
      <c r="E182" s="19">
        <v>4212</v>
      </c>
      <c r="F182" s="18">
        <v>2.2000000000000002</v>
      </c>
      <c r="G182" s="21">
        <v>9266.4000000000015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17">
        <v>42065</v>
      </c>
      <c r="B183" s="18">
        <v>1</v>
      </c>
      <c r="C183" s="18" t="s">
        <v>16</v>
      </c>
      <c r="D183" s="18">
        <v>2</v>
      </c>
      <c r="E183" s="19">
        <v>5202</v>
      </c>
      <c r="F183" s="18">
        <v>1.2</v>
      </c>
      <c r="G183" s="21">
        <v>6242.4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17">
        <v>42065</v>
      </c>
      <c r="B184" s="18">
        <v>2</v>
      </c>
      <c r="C184" s="18" t="s">
        <v>16</v>
      </c>
      <c r="D184" s="18">
        <v>1</v>
      </c>
      <c r="E184" s="19">
        <v>2588</v>
      </c>
      <c r="F184" s="18">
        <v>2.2000000000000002</v>
      </c>
      <c r="G184" s="21">
        <v>5693.6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17">
        <v>42065</v>
      </c>
      <c r="B185" s="18">
        <v>2</v>
      </c>
      <c r="C185" s="18" t="s">
        <v>16</v>
      </c>
      <c r="D185" s="18">
        <v>2</v>
      </c>
      <c r="E185" s="19">
        <v>5406</v>
      </c>
      <c r="F185" s="18">
        <v>1.2</v>
      </c>
      <c r="G185" s="21">
        <v>6487.2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17">
        <v>42065</v>
      </c>
      <c r="B186" s="18">
        <v>1</v>
      </c>
      <c r="C186" s="18" t="s">
        <v>17</v>
      </c>
      <c r="D186" s="18">
        <v>3</v>
      </c>
      <c r="E186" s="19">
        <v>2281</v>
      </c>
      <c r="F186" s="18">
        <v>8.3000000000000007</v>
      </c>
      <c r="G186" s="21">
        <v>18932.300000000003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17">
        <v>42065</v>
      </c>
      <c r="B187" s="18">
        <v>2</v>
      </c>
      <c r="C187" s="18" t="s">
        <v>17</v>
      </c>
      <c r="D187" s="18">
        <v>3</v>
      </c>
      <c r="E187" s="19">
        <v>3125</v>
      </c>
      <c r="F187" s="18">
        <v>8.3000000000000007</v>
      </c>
      <c r="G187" s="21">
        <v>25937.500000000004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17">
        <v>42072</v>
      </c>
      <c r="B188" s="18">
        <v>1</v>
      </c>
      <c r="C188" s="18" t="s">
        <v>16</v>
      </c>
      <c r="D188" s="18">
        <v>1</v>
      </c>
      <c r="E188" s="19">
        <v>6055</v>
      </c>
      <c r="F188" s="18">
        <v>2.2000000000000002</v>
      </c>
      <c r="G188" s="21">
        <v>13321.000000000002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17">
        <v>42072</v>
      </c>
      <c r="B189" s="18">
        <v>1</v>
      </c>
      <c r="C189" s="18" t="s">
        <v>16</v>
      </c>
      <c r="D189" s="18">
        <v>2</v>
      </c>
      <c r="E189" s="19">
        <v>6192</v>
      </c>
      <c r="F189" s="18">
        <v>1.2</v>
      </c>
      <c r="G189" s="21">
        <v>7430.4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17">
        <v>42072</v>
      </c>
      <c r="B190" s="18">
        <v>2</v>
      </c>
      <c r="C190" s="18" t="s">
        <v>16</v>
      </c>
      <c r="D190" s="18">
        <v>1</v>
      </c>
      <c r="E190" s="19">
        <v>5147</v>
      </c>
      <c r="F190" s="18">
        <v>2.2000000000000002</v>
      </c>
      <c r="G190" s="21">
        <v>11323.400000000001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17">
        <v>42072</v>
      </c>
      <c r="B191" s="18">
        <v>2</v>
      </c>
      <c r="C191" s="18" t="s">
        <v>16</v>
      </c>
      <c r="D191" s="18">
        <v>2</v>
      </c>
      <c r="E191" s="19">
        <v>6004</v>
      </c>
      <c r="F191" s="18">
        <v>1.2</v>
      </c>
      <c r="G191" s="21">
        <v>7204.8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17">
        <v>42072</v>
      </c>
      <c r="B192" s="18">
        <v>1</v>
      </c>
      <c r="C192" s="18" t="s">
        <v>17</v>
      </c>
      <c r="D192" s="18">
        <v>3</v>
      </c>
      <c r="E192" s="19">
        <v>1816</v>
      </c>
      <c r="F192" s="18">
        <v>8.3000000000000007</v>
      </c>
      <c r="G192" s="21">
        <v>15072.800000000001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17">
        <v>42072</v>
      </c>
      <c r="B193" s="18">
        <v>2</v>
      </c>
      <c r="C193" s="18" t="s">
        <v>17</v>
      </c>
      <c r="D193" s="18">
        <v>3</v>
      </c>
      <c r="E193" s="19">
        <v>2126</v>
      </c>
      <c r="F193" s="18">
        <v>8.3000000000000007</v>
      </c>
      <c r="G193" s="21">
        <v>17645.800000000003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17">
        <v>42079</v>
      </c>
      <c r="B194" s="18">
        <v>1</v>
      </c>
      <c r="C194" s="18" t="s">
        <v>16</v>
      </c>
      <c r="D194" s="18">
        <v>1</v>
      </c>
      <c r="E194" s="19">
        <v>5042</v>
      </c>
      <c r="F194" s="18">
        <v>2.2000000000000002</v>
      </c>
      <c r="G194" s="21">
        <v>11092.400000000001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17">
        <v>42079</v>
      </c>
      <c r="B195" s="18">
        <v>1</v>
      </c>
      <c r="C195" s="18" t="s">
        <v>16</v>
      </c>
      <c r="D195" s="18">
        <v>2</v>
      </c>
      <c r="E195" s="19">
        <v>4854</v>
      </c>
      <c r="F195" s="18">
        <v>1.2</v>
      </c>
      <c r="G195" s="21">
        <v>5824.8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17">
        <v>42079</v>
      </c>
      <c r="B196" s="18">
        <v>2</v>
      </c>
      <c r="C196" s="18" t="s">
        <v>16</v>
      </c>
      <c r="D196" s="18">
        <v>1</v>
      </c>
      <c r="E196" s="19">
        <v>4232</v>
      </c>
      <c r="F196" s="18">
        <v>2.2000000000000002</v>
      </c>
      <c r="G196" s="21">
        <v>9310.4000000000015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17">
        <v>42079</v>
      </c>
      <c r="B197" s="18">
        <v>2</v>
      </c>
      <c r="C197" s="18" t="s">
        <v>16</v>
      </c>
      <c r="D197" s="18">
        <v>2</v>
      </c>
      <c r="E197" s="19">
        <v>4936</v>
      </c>
      <c r="F197" s="18">
        <v>1.2</v>
      </c>
      <c r="G197" s="21">
        <v>5923.2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17">
        <v>42079</v>
      </c>
      <c r="B198" s="18">
        <v>1</v>
      </c>
      <c r="C198" s="18" t="s">
        <v>17</v>
      </c>
      <c r="D198" s="18">
        <v>3</v>
      </c>
      <c r="E198" s="19">
        <v>2028</v>
      </c>
      <c r="F198" s="18">
        <v>8.3000000000000007</v>
      </c>
      <c r="G198" s="21">
        <v>16832.400000000001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17">
        <v>42079</v>
      </c>
      <c r="B199" s="18">
        <v>2</v>
      </c>
      <c r="C199" s="18" t="s">
        <v>17</v>
      </c>
      <c r="D199" s="18">
        <v>3</v>
      </c>
      <c r="E199" s="19">
        <v>2742</v>
      </c>
      <c r="F199" s="18">
        <v>8.3000000000000007</v>
      </c>
      <c r="G199" s="21">
        <v>22758.600000000002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17">
        <v>42086</v>
      </c>
      <c r="B200" s="18">
        <v>1</v>
      </c>
      <c r="C200" s="18" t="s">
        <v>16</v>
      </c>
      <c r="D200" s="18">
        <v>1</v>
      </c>
      <c r="E200" s="19">
        <v>3806</v>
      </c>
      <c r="F200" s="18">
        <v>2.2000000000000002</v>
      </c>
      <c r="G200" s="21">
        <v>8373.2000000000007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17">
        <v>42086</v>
      </c>
      <c r="B201" s="18">
        <v>1</v>
      </c>
      <c r="C201" s="18" t="s">
        <v>16</v>
      </c>
      <c r="D201" s="18">
        <v>2</v>
      </c>
      <c r="E201" s="19">
        <v>5686</v>
      </c>
      <c r="F201" s="18">
        <v>1.2</v>
      </c>
      <c r="G201" s="21">
        <v>6823.2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17">
        <v>42086</v>
      </c>
      <c r="B202" s="18">
        <v>2</v>
      </c>
      <c r="C202" s="18" t="s">
        <v>16</v>
      </c>
      <c r="D202" s="18">
        <v>1</v>
      </c>
      <c r="E202" s="19">
        <v>2819</v>
      </c>
      <c r="F202" s="18">
        <v>2.2000000000000002</v>
      </c>
      <c r="G202" s="21">
        <v>6201.8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17">
        <v>42086</v>
      </c>
      <c r="B203" s="18">
        <v>2</v>
      </c>
      <c r="C203" s="18" t="s">
        <v>16</v>
      </c>
      <c r="D203" s="18">
        <v>2</v>
      </c>
      <c r="E203" s="19">
        <v>6756</v>
      </c>
      <c r="F203" s="18">
        <v>1.2</v>
      </c>
      <c r="G203" s="21">
        <v>8107.2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17">
        <v>42086</v>
      </c>
      <c r="B204" s="18">
        <v>1</v>
      </c>
      <c r="C204" s="18" t="s">
        <v>17</v>
      </c>
      <c r="D204" s="18">
        <v>3</v>
      </c>
      <c r="E204" s="19">
        <v>2323</v>
      </c>
      <c r="F204" s="18">
        <v>8.3000000000000007</v>
      </c>
      <c r="G204" s="21">
        <v>19280.900000000001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17">
        <v>42086</v>
      </c>
      <c r="B205" s="18">
        <v>2</v>
      </c>
      <c r="C205" s="18" t="s">
        <v>17</v>
      </c>
      <c r="D205" s="18">
        <v>3</v>
      </c>
      <c r="E205" s="19">
        <v>2892</v>
      </c>
      <c r="F205" s="18">
        <v>8.3000000000000007</v>
      </c>
      <c r="G205" s="21">
        <v>24003.600000000002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17">
        <v>42093</v>
      </c>
      <c r="B206" s="18">
        <v>1</v>
      </c>
      <c r="C206" s="18" t="s">
        <v>16</v>
      </c>
      <c r="D206" s="18">
        <v>1</v>
      </c>
      <c r="E206" s="19">
        <v>4470</v>
      </c>
      <c r="F206" s="18">
        <v>2.2000000000000002</v>
      </c>
      <c r="G206" s="21">
        <v>9834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17">
        <v>42093</v>
      </c>
      <c r="B207" s="18">
        <v>1</v>
      </c>
      <c r="C207" s="18" t="s">
        <v>16</v>
      </c>
      <c r="D207" s="18">
        <v>2</v>
      </c>
      <c r="E207" s="19">
        <v>5517</v>
      </c>
      <c r="F207" s="18">
        <v>1.2</v>
      </c>
      <c r="G207" s="21">
        <v>6620.4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17">
        <v>42093</v>
      </c>
      <c r="B208" s="18">
        <v>2</v>
      </c>
      <c r="C208" s="18" t="s">
        <v>16</v>
      </c>
      <c r="D208" s="18">
        <v>1</v>
      </c>
      <c r="E208" s="19">
        <v>2809</v>
      </c>
      <c r="F208" s="18">
        <v>2.2000000000000002</v>
      </c>
      <c r="G208" s="21">
        <v>6179.8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17">
        <v>42093</v>
      </c>
      <c r="B209" s="18">
        <v>2</v>
      </c>
      <c r="C209" s="18" t="s">
        <v>16</v>
      </c>
      <c r="D209" s="18">
        <v>2</v>
      </c>
      <c r="E209" s="19">
        <v>6551</v>
      </c>
      <c r="F209" s="18">
        <v>1.2</v>
      </c>
      <c r="G209" s="21">
        <v>7861.2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17">
        <v>42093</v>
      </c>
      <c r="B210" s="18">
        <v>1</v>
      </c>
      <c r="C210" s="18" t="s">
        <v>17</v>
      </c>
      <c r="D210" s="18">
        <v>3</v>
      </c>
      <c r="E210" s="19">
        <v>2174</v>
      </c>
      <c r="F210" s="18">
        <v>8.3000000000000007</v>
      </c>
      <c r="G210" s="21">
        <v>18044.2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17">
        <v>42093</v>
      </c>
      <c r="B211" s="18">
        <v>2</v>
      </c>
      <c r="C211" s="18" t="s">
        <v>17</v>
      </c>
      <c r="D211" s="18">
        <v>3</v>
      </c>
      <c r="E211" s="19">
        <v>2965</v>
      </c>
      <c r="F211" s="18">
        <v>8.3000000000000007</v>
      </c>
      <c r="G211" s="21">
        <v>24609.500000000004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17">
        <v>42100</v>
      </c>
      <c r="B212" s="18">
        <v>1</v>
      </c>
      <c r="C212" s="18" t="s">
        <v>16</v>
      </c>
      <c r="D212" s="18">
        <v>1</v>
      </c>
      <c r="E212" s="19">
        <v>4799</v>
      </c>
      <c r="F212" s="18">
        <v>2.2000000000000002</v>
      </c>
      <c r="G212" s="21">
        <v>10557.800000000001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17">
        <v>42100</v>
      </c>
      <c r="B213" s="18">
        <v>1</v>
      </c>
      <c r="C213" s="18" t="s">
        <v>16</v>
      </c>
      <c r="D213" s="18">
        <v>2</v>
      </c>
      <c r="E213" s="19">
        <v>6414</v>
      </c>
      <c r="F213" s="18">
        <v>1.2</v>
      </c>
      <c r="G213" s="21">
        <v>7696.7999999999993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17">
        <v>42100</v>
      </c>
      <c r="B214" s="18">
        <v>2</v>
      </c>
      <c r="C214" s="18" t="s">
        <v>16</v>
      </c>
      <c r="D214" s="18">
        <v>1</v>
      </c>
      <c r="E214" s="19">
        <v>3712</v>
      </c>
      <c r="F214" s="18">
        <v>2.2000000000000002</v>
      </c>
      <c r="G214" s="21">
        <v>8166.4000000000005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17">
        <v>42100</v>
      </c>
      <c r="B215" s="18">
        <v>2</v>
      </c>
      <c r="C215" s="18" t="s">
        <v>16</v>
      </c>
      <c r="D215" s="18">
        <v>2</v>
      </c>
      <c r="E215" s="19">
        <v>7698</v>
      </c>
      <c r="F215" s="18">
        <v>1.2</v>
      </c>
      <c r="G215" s="21">
        <v>9237.6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17">
        <v>42100</v>
      </c>
      <c r="B216" s="18">
        <v>1</v>
      </c>
      <c r="C216" s="18" t="s">
        <v>17</v>
      </c>
      <c r="D216" s="18">
        <v>3</v>
      </c>
      <c r="E216" s="19">
        <v>2167</v>
      </c>
      <c r="F216" s="18">
        <v>8.3000000000000007</v>
      </c>
      <c r="G216" s="21">
        <v>17986.100000000002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17">
        <v>42100</v>
      </c>
      <c r="B217" s="18">
        <v>2</v>
      </c>
      <c r="C217" s="18" t="s">
        <v>17</v>
      </c>
      <c r="D217" s="18">
        <v>3</v>
      </c>
      <c r="E217" s="19">
        <v>2957</v>
      </c>
      <c r="F217" s="18">
        <v>8.3000000000000007</v>
      </c>
      <c r="G217" s="21">
        <v>24543.100000000002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17">
        <v>42107</v>
      </c>
      <c r="B218" s="18">
        <v>1</v>
      </c>
      <c r="C218" s="18" t="s">
        <v>16</v>
      </c>
      <c r="D218" s="18">
        <v>1</v>
      </c>
      <c r="E218" s="19">
        <v>4366</v>
      </c>
      <c r="F218" s="18">
        <v>2.2000000000000002</v>
      </c>
      <c r="G218" s="21">
        <v>9605.2000000000007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17">
        <v>42107</v>
      </c>
      <c r="B219" s="18">
        <v>1</v>
      </c>
      <c r="C219" s="18" t="s">
        <v>16</v>
      </c>
      <c r="D219" s="18">
        <v>2</v>
      </c>
      <c r="E219" s="19">
        <v>6667</v>
      </c>
      <c r="F219" s="18">
        <v>1.2</v>
      </c>
      <c r="G219" s="21">
        <v>8000.4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17">
        <v>42107</v>
      </c>
      <c r="B220" s="18">
        <v>2</v>
      </c>
      <c r="C220" s="18" t="s">
        <v>16</v>
      </c>
      <c r="D220" s="18">
        <v>1</v>
      </c>
      <c r="E220" s="19">
        <v>3318</v>
      </c>
      <c r="F220" s="18">
        <v>2.2000000000000002</v>
      </c>
      <c r="G220" s="21">
        <v>7299.6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17">
        <v>42107</v>
      </c>
      <c r="B221" s="18">
        <v>2</v>
      </c>
      <c r="C221" s="18" t="s">
        <v>16</v>
      </c>
      <c r="D221" s="18">
        <v>2</v>
      </c>
      <c r="E221" s="19">
        <v>6652</v>
      </c>
      <c r="F221" s="18">
        <v>1.2</v>
      </c>
      <c r="G221" s="21">
        <v>7982.4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17">
        <v>42107</v>
      </c>
      <c r="B222" s="18">
        <v>1</v>
      </c>
      <c r="C222" s="18" t="s">
        <v>17</v>
      </c>
      <c r="D222" s="18">
        <v>3</v>
      </c>
      <c r="E222" s="19">
        <v>2102</v>
      </c>
      <c r="F222" s="18">
        <v>8.3000000000000007</v>
      </c>
      <c r="G222" s="21">
        <v>17446.600000000002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17">
        <v>42107</v>
      </c>
      <c r="B223" s="18">
        <v>2</v>
      </c>
      <c r="C223" s="18" t="s">
        <v>17</v>
      </c>
      <c r="D223" s="18">
        <v>3</v>
      </c>
      <c r="E223" s="19">
        <v>2856</v>
      </c>
      <c r="F223" s="18">
        <v>8.3000000000000007</v>
      </c>
      <c r="G223" s="21">
        <v>23704.800000000003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17">
        <v>42114</v>
      </c>
      <c r="B224" s="18">
        <v>1</v>
      </c>
      <c r="C224" s="18" t="s">
        <v>16</v>
      </c>
      <c r="D224" s="18">
        <v>1</v>
      </c>
      <c r="E224" s="19">
        <v>4765</v>
      </c>
      <c r="F224" s="18">
        <v>2.2000000000000002</v>
      </c>
      <c r="G224" s="21">
        <v>10483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17">
        <v>42114</v>
      </c>
      <c r="B225" s="18">
        <v>1</v>
      </c>
      <c r="C225" s="18" t="s">
        <v>16</v>
      </c>
      <c r="D225" s="18">
        <v>2</v>
      </c>
      <c r="E225" s="19">
        <v>5806</v>
      </c>
      <c r="F225" s="18">
        <v>1.2</v>
      </c>
      <c r="G225" s="21">
        <v>6967.2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17">
        <v>42114</v>
      </c>
      <c r="B226" s="18">
        <v>2</v>
      </c>
      <c r="C226" s="18" t="s">
        <v>16</v>
      </c>
      <c r="D226" s="18">
        <v>1</v>
      </c>
      <c r="E226" s="19">
        <v>3689</v>
      </c>
      <c r="F226" s="18">
        <v>2.2000000000000002</v>
      </c>
      <c r="G226" s="21">
        <v>8115.8000000000011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17">
        <v>42114</v>
      </c>
      <c r="B227" s="18">
        <v>2</v>
      </c>
      <c r="C227" s="18" t="s">
        <v>16</v>
      </c>
      <c r="D227" s="18">
        <v>2</v>
      </c>
      <c r="E227" s="19">
        <v>6898</v>
      </c>
      <c r="F227" s="18">
        <v>1.2</v>
      </c>
      <c r="G227" s="21">
        <v>8277.6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17">
        <v>42114</v>
      </c>
      <c r="B228" s="18">
        <v>1</v>
      </c>
      <c r="C228" s="18" t="s">
        <v>17</v>
      </c>
      <c r="D228" s="18">
        <v>3</v>
      </c>
      <c r="E228" s="19">
        <v>2072</v>
      </c>
      <c r="F228" s="18">
        <v>8.3000000000000007</v>
      </c>
      <c r="G228" s="21">
        <v>17197.600000000002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17">
        <v>42114</v>
      </c>
      <c r="B229" s="18">
        <v>2</v>
      </c>
      <c r="C229" s="18" t="s">
        <v>17</v>
      </c>
      <c r="D229" s="18">
        <v>3</v>
      </c>
      <c r="E229" s="19">
        <v>2813</v>
      </c>
      <c r="F229" s="18">
        <v>8.3000000000000007</v>
      </c>
      <c r="G229" s="21">
        <v>23347.9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17">
        <v>42121</v>
      </c>
      <c r="B230" s="18">
        <v>1</v>
      </c>
      <c r="C230" s="18" t="s">
        <v>16</v>
      </c>
      <c r="D230" s="18">
        <v>1</v>
      </c>
      <c r="E230" s="19">
        <v>5134</v>
      </c>
      <c r="F230" s="18">
        <v>2.2000000000000002</v>
      </c>
      <c r="G230" s="21">
        <v>11294.800000000001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17">
        <v>42121</v>
      </c>
      <c r="B231" s="18">
        <v>1</v>
      </c>
      <c r="C231" s="18" t="s">
        <v>16</v>
      </c>
      <c r="D231" s="18">
        <v>2</v>
      </c>
      <c r="E231" s="19">
        <v>5773</v>
      </c>
      <c r="F231" s="18">
        <v>1.2</v>
      </c>
      <c r="G231" s="21">
        <v>6927.5999999999995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17">
        <v>42121</v>
      </c>
      <c r="B232" s="18">
        <v>2</v>
      </c>
      <c r="C232" s="18" t="s">
        <v>16</v>
      </c>
      <c r="D232" s="18">
        <v>1</v>
      </c>
      <c r="E232" s="19">
        <v>3406</v>
      </c>
      <c r="F232" s="18">
        <v>2.2000000000000002</v>
      </c>
      <c r="G232" s="21">
        <v>7493.2000000000007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17">
        <v>42121</v>
      </c>
      <c r="B233" s="18">
        <v>2</v>
      </c>
      <c r="C233" s="18" t="s">
        <v>16</v>
      </c>
      <c r="D233" s="18">
        <v>2</v>
      </c>
      <c r="E233" s="19">
        <v>6162</v>
      </c>
      <c r="F233" s="18">
        <v>1.2</v>
      </c>
      <c r="G233" s="21">
        <v>7394.4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17">
        <v>42121</v>
      </c>
      <c r="B234" s="18">
        <v>1</v>
      </c>
      <c r="C234" s="18" t="s">
        <v>17</v>
      </c>
      <c r="D234" s="18">
        <v>3</v>
      </c>
      <c r="E234" s="19">
        <v>2019</v>
      </c>
      <c r="F234" s="18">
        <v>8.3000000000000007</v>
      </c>
      <c r="G234" s="21">
        <v>16757.7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17">
        <v>42121</v>
      </c>
      <c r="B235" s="18">
        <v>2</v>
      </c>
      <c r="C235" s="18" t="s">
        <v>17</v>
      </c>
      <c r="D235" s="18">
        <v>3</v>
      </c>
      <c r="E235" s="19">
        <v>2435</v>
      </c>
      <c r="F235" s="18">
        <v>8.3000000000000007</v>
      </c>
      <c r="G235" s="21">
        <v>20210.5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17">
        <v>42128</v>
      </c>
      <c r="B236" s="18">
        <v>1</v>
      </c>
      <c r="C236" s="18" t="s">
        <v>16</v>
      </c>
      <c r="D236" s="18">
        <v>1</v>
      </c>
      <c r="E236" s="19">
        <v>4802</v>
      </c>
      <c r="F236" s="18">
        <v>2.2000000000000002</v>
      </c>
      <c r="G236" s="21">
        <v>10564.400000000001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17">
        <v>42128</v>
      </c>
      <c r="B237" s="18">
        <v>1</v>
      </c>
      <c r="C237" s="18" t="s">
        <v>16</v>
      </c>
      <c r="D237" s="18">
        <v>2</v>
      </c>
      <c r="E237" s="19">
        <v>5461</v>
      </c>
      <c r="F237" s="18">
        <v>1.2</v>
      </c>
      <c r="G237" s="21">
        <v>6553.2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17">
        <v>42128</v>
      </c>
      <c r="B238" s="18">
        <v>2</v>
      </c>
      <c r="C238" s="18" t="s">
        <v>16</v>
      </c>
      <c r="D238" s="18">
        <v>1</v>
      </c>
      <c r="E238" s="19">
        <v>3714</v>
      </c>
      <c r="F238" s="18">
        <v>2.2000000000000002</v>
      </c>
      <c r="G238" s="21">
        <v>8170.8000000000011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17">
        <v>42128</v>
      </c>
      <c r="B239" s="18">
        <v>2</v>
      </c>
      <c r="C239" s="18" t="s">
        <v>16</v>
      </c>
      <c r="D239" s="18">
        <v>2</v>
      </c>
      <c r="E239" s="19">
        <v>5770</v>
      </c>
      <c r="F239" s="18">
        <v>1.2</v>
      </c>
      <c r="G239" s="21">
        <v>6924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17">
        <v>42128</v>
      </c>
      <c r="B240" s="18">
        <v>1</v>
      </c>
      <c r="C240" s="18" t="s">
        <v>17</v>
      </c>
      <c r="D240" s="18">
        <v>3</v>
      </c>
      <c r="E240" s="19">
        <v>2422</v>
      </c>
      <c r="F240" s="18">
        <v>8.3000000000000007</v>
      </c>
      <c r="G240" s="21">
        <v>20102.600000000002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17">
        <v>42128</v>
      </c>
      <c r="B241" s="18">
        <v>2</v>
      </c>
      <c r="C241" s="18" t="s">
        <v>17</v>
      </c>
      <c r="D241" s="18">
        <v>3</v>
      </c>
      <c r="E241" s="19">
        <v>2740</v>
      </c>
      <c r="F241" s="18">
        <v>8.3000000000000007</v>
      </c>
      <c r="G241" s="21">
        <v>22742.000000000004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17">
        <v>42135</v>
      </c>
      <c r="B242" s="18">
        <v>1</v>
      </c>
      <c r="C242" s="18" t="s">
        <v>16</v>
      </c>
      <c r="D242" s="18">
        <v>1</v>
      </c>
      <c r="E242" s="19">
        <v>5394</v>
      </c>
      <c r="F242" s="18">
        <v>2.2000000000000002</v>
      </c>
      <c r="G242" s="21">
        <v>11866.800000000001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17">
        <v>42135</v>
      </c>
      <c r="B243" s="18">
        <v>1</v>
      </c>
      <c r="C243" s="18" t="s">
        <v>16</v>
      </c>
      <c r="D243" s="18">
        <v>2</v>
      </c>
      <c r="E243" s="19">
        <v>6538</v>
      </c>
      <c r="F243" s="18">
        <v>1.2</v>
      </c>
      <c r="G243" s="21">
        <v>7845.5999999999995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17">
        <v>42135</v>
      </c>
      <c r="B244" s="18">
        <v>2</v>
      </c>
      <c r="C244" s="18" t="s">
        <v>16</v>
      </c>
      <c r="D244" s="18">
        <v>1</v>
      </c>
      <c r="E244" s="19">
        <v>3944</v>
      </c>
      <c r="F244" s="18">
        <v>2.2000000000000002</v>
      </c>
      <c r="G244" s="21">
        <v>8676.8000000000011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17">
        <v>42135</v>
      </c>
      <c r="B245" s="18">
        <v>2</v>
      </c>
      <c r="C245" s="18" t="s">
        <v>16</v>
      </c>
      <c r="D245" s="18">
        <v>2</v>
      </c>
      <c r="E245" s="19">
        <v>7169</v>
      </c>
      <c r="F245" s="18">
        <v>1.2</v>
      </c>
      <c r="G245" s="21">
        <v>8602.7999999999993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17">
        <v>42135</v>
      </c>
      <c r="B246" s="18">
        <v>1</v>
      </c>
      <c r="C246" s="18" t="s">
        <v>17</v>
      </c>
      <c r="D246" s="18">
        <v>3</v>
      </c>
      <c r="E246" s="19">
        <v>2442</v>
      </c>
      <c r="F246" s="18">
        <v>8.3000000000000007</v>
      </c>
      <c r="G246" s="21">
        <v>20268.600000000002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17">
        <v>42135</v>
      </c>
      <c r="B247" s="18">
        <v>2</v>
      </c>
      <c r="C247" s="18" t="s">
        <v>17</v>
      </c>
      <c r="D247" s="18">
        <v>3</v>
      </c>
      <c r="E247" s="19">
        <v>3071</v>
      </c>
      <c r="F247" s="18">
        <v>8.3000000000000007</v>
      </c>
      <c r="G247" s="21">
        <v>25489.300000000003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17">
        <v>42142</v>
      </c>
      <c r="B248" s="18">
        <v>1</v>
      </c>
      <c r="C248" s="18" t="s">
        <v>16</v>
      </c>
      <c r="D248" s="18">
        <v>1</v>
      </c>
      <c r="E248" s="19">
        <v>5205</v>
      </c>
      <c r="F248" s="18">
        <v>2.2000000000000002</v>
      </c>
      <c r="G248" s="21">
        <v>11451.000000000002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17">
        <v>42142</v>
      </c>
      <c r="B249" s="18">
        <v>1</v>
      </c>
      <c r="C249" s="18" t="s">
        <v>16</v>
      </c>
      <c r="D249" s="18">
        <v>2</v>
      </c>
      <c r="E249" s="19">
        <v>6630</v>
      </c>
      <c r="F249" s="18">
        <v>1.2</v>
      </c>
      <c r="G249" s="21">
        <v>7956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17">
        <v>42142</v>
      </c>
      <c r="B250" s="18">
        <v>2</v>
      </c>
      <c r="C250" s="18" t="s">
        <v>16</v>
      </c>
      <c r="D250" s="18">
        <v>1</v>
      </c>
      <c r="E250" s="19">
        <v>3778</v>
      </c>
      <c r="F250" s="18">
        <v>2.2000000000000002</v>
      </c>
      <c r="G250" s="21">
        <v>8311.6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17">
        <v>42142</v>
      </c>
      <c r="B251" s="18">
        <v>2</v>
      </c>
      <c r="C251" s="18" t="s">
        <v>16</v>
      </c>
      <c r="D251" s="18">
        <v>2</v>
      </c>
      <c r="E251" s="19">
        <v>7998</v>
      </c>
      <c r="F251" s="18">
        <v>1.2</v>
      </c>
      <c r="G251" s="21">
        <v>9597.6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17">
        <v>42142</v>
      </c>
      <c r="B252" s="18">
        <v>1</v>
      </c>
      <c r="C252" s="18" t="s">
        <v>17</v>
      </c>
      <c r="D252" s="18">
        <v>3</v>
      </c>
      <c r="E252" s="19">
        <v>2201</v>
      </c>
      <c r="F252" s="18">
        <v>8.3000000000000007</v>
      </c>
      <c r="G252" s="21">
        <v>18268.300000000003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17">
        <v>42142</v>
      </c>
      <c r="B253" s="18">
        <v>2</v>
      </c>
      <c r="C253" s="18" t="s">
        <v>17</v>
      </c>
      <c r="D253" s="18">
        <v>3</v>
      </c>
      <c r="E253" s="19">
        <v>3006</v>
      </c>
      <c r="F253" s="18">
        <v>8.3000000000000007</v>
      </c>
      <c r="G253" s="21">
        <v>24949.800000000003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17">
        <v>42149</v>
      </c>
      <c r="B254" s="18">
        <v>1</v>
      </c>
      <c r="C254" s="18" t="s">
        <v>16</v>
      </c>
      <c r="D254" s="18">
        <v>1</v>
      </c>
      <c r="E254" s="19">
        <v>5253</v>
      </c>
      <c r="F254" s="18">
        <v>2.2000000000000002</v>
      </c>
      <c r="G254" s="21">
        <v>11556.6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17">
        <v>42149</v>
      </c>
      <c r="B255" s="18">
        <v>1</v>
      </c>
      <c r="C255" s="18" t="s">
        <v>16</v>
      </c>
      <c r="D255" s="18">
        <v>2</v>
      </c>
      <c r="E255" s="19">
        <v>6050</v>
      </c>
      <c r="F255" s="18">
        <v>1.2</v>
      </c>
      <c r="G255" s="21">
        <v>7260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17">
        <v>42149</v>
      </c>
      <c r="B256" s="18">
        <v>2</v>
      </c>
      <c r="C256" s="18" t="s">
        <v>16</v>
      </c>
      <c r="D256" s="18">
        <v>1</v>
      </c>
      <c r="E256" s="19">
        <v>4415</v>
      </c>
      <c r="F256" s="18">
        <v>2.2000000000000002</v>
      </c>
      <c r="G256" s="21">
        <v>9713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17">
        <v>42149</v>
      </c>
      <c r="B257" s="18">
        <v>2</v>
      </c>
      <c r="C257" s="18" t="s">
        <v>16</v>
      </c>
      <c r="D257" s="18">
        <v>2</v>
      </c>
      <c r="E257" s="19">
        <v>6536</v>
      </c>
      <c r="F257" s="18">
        <v>1.2</v>
      </c>
      <c r="G257" s="21">
        <v>7843.2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17">
        <v>42149</v>
      </c>
      <c r="B258" s="18">
        <v>1</v>
      </c>
      <c r="C258" s="18" t="s">
        <v>17</v>
      </c>
      <c r="D258" s="18">
        <v>3</v>
      </c>
      <c r="E258" s="19">
        <v>2289</v>
      </c>
      <c r="F258" s="18">
        <v>8.3000000000000007</v>
      </c>
      <c r="G258" s="21">
        <v>18998.7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17">
        <v>42149</v>
      </c>
      <c r="B259" s="18">
        <v>2</v>
      </c>
      <c r="C259" s="18" t="s">
        <v>17</v>
      </c>
      <c r="D259" s="18">
        <v>3</v>
      </c>
      <c r="E259" s="19">
        <v>3138</v>
      </c>
      <c r="F259" s="18">
        <v>8.3000000000000007</v>
      </c>
      <c r="G259" s="21">
        <v>26045.4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17">
        <v>42156</v>
      </c>
      <c r="B260" s="18">
        <v>1</v>
      </c>
      <c r="C260" s="18" t="s">
        <v>16</v>
      </c>
      <c r="D260" s="18">
        <v>1</v>
      </c>
      <c r="E260" s="19">
        <v>5281</v>
      </c>
      <c r="F260" s="18">
        <v>2.2000000000000002</v>
      </c>
      <c r="G260" s="21">
        <v>11618.2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17">
        <v>42156</v>
      </c>
      <c r="B261" s="18">
        <v>1</v>
      </c>
      <c r="C261" s="18" t="s">
        <v>16</v>
      </c>
      <c r="D261" s="18">
        <v>2</v>
      </c>
      <c r="E261" s="19">
        <v>5825</v>
      </c>
      <c r="F261" s="18">
        <v>1.2</v>
      </c>
      <c r="G261" s="21">
        <v>6990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17">
        <v>42156</v>
      </c>
      <c r="B262" s="18">
        <v>2</v>
      </c>
      <c r="C262" s="18" t="s">
        <v>16</v>
      </c>
      <c r="D262" s="18">
        <v>1</v>
      </c>
      <c r="E262" s="19">
        <v>4453</v>
      </c>
      <c r="F262" s="18">
        <v>2.2000000000000002</v>
      </c>
      <c r="G262" s="21">
        <v>9796.6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17">
        <v>42156</v>
      </c>
      <c r="B263" s="18">
        <v>2</v>
      </c>
      <c r="C263" s="18" t="s">
        <v>16</v>
      </c>
      <c r="D263" s="18">
        <v>2</v>
      </c>
      <c r="E263" s="19">
        <v>5519</v>
      </c>
      <c r="F263" s="18">
        <v>1.2</v>
      </c>
      <c r="G263" s="21">
        <v>6622.8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17">
        <v>42156</v>
      </c>
      <c r="B264" s="18">
        <v>1</v>
      </c>
      <c r="C264" s="18" t="s">
        <v>17</v>
      </c>
      <c r="D264" s="18">
        <v>3</v>
      </c>
      <c r="E264" s="19">
        <v>2298</v>
      </c>
      <c r="F264" s="18">
        <v>8.3000000000000007</v>
      </c>
      <c r="G264" s="21">
        <v>19073.400000000001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17">
        <v>42156</v>
      </c>
      <c r="B265" s="18">
        <v>2</v>
      </c>
      <c r="C265" s="18" t="s">
        <v>17</v>
      </c>
      <c r="D265" s="18">
        <v>3</v>
      </c>
      <c r="E265" s="19">
        <v>3149</v>
      </c>
      <c r="F265" s="18">
        <v>8.3000000000000007</v>
      </c>
      <c r="G265" s="21">
        <v>26136.7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17">
        <v>42163</v>
      </c>
      <c r="B266" s="18">
        <v>1</v>
      </c>
      <c r="C266" s="18" t="s">
        <v>16</v>
      </c>
      <c r="D266" s="18">
        <v>1</v>
      </c>
      <c r="E266" s="19">
        <v>5168</v>
      </c>
      <c r="F266" s="18">
        <v>2.2000000000000002</v>
      </c>
      <c r="G266" s="21">
        <v>11369.6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17">
        <v>42163</v>
      </c>
      <c r="B267" s="18">
        <v>1</v>
      </c>
      <c r="C267" s="18" t="s">
        <v>16</v>
      </c>
      <c r="D267" s="18">
        <v>2</v>
      </c>
      <c r="E267" s="19">
        <v>6444</v>
      </c>
      <c r="F267" s="18">
        <v>1.2</v>
      </c>
      <c r="G267" s="21">
        <v>7732.7999999999993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17">
        <v>42163</v>
      </c>
      <c r="B268" s="18">
        <v>2</v>
      </c>
      <c r="C268" s="18" t="s">
        <v>16</v>
      </c>
      <c r="D268" s="18">
        <v>1</v>
      </c>
      <c r="E268" s="19">
        <v>4044</v>
      </c>
      <c r="F268" s="18">
        <v>2.2000000000000002</v>
      </c>
      <c r="G268" s="21">
        <v>8896.8000000000011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17">
        <v>42163</v>
      </c>
      <c r="B269" s="18">
        <v>2</v>
      </c>
      <c r="C269" s="18" t="s">
        <v>16</v>
      </c>
      <c r="D269" s="18">
        <v>2</v>
      </c>
      <c r="E269" s="19">
        <v>6326</v>
      </c>
      <c r="F269" s="18">
        <v>1.2</v>
      </c>
      <c r="G269" s="21">
        <v>7591.2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17">
        <v>42163</v>
      </c>
      <c r="B270" s="18">
        <v>1</v>
      </c>
      <c r="C270" s="18" t="s">
        <v>17</v>
      </c>
      <c r="D270" s="18">
        <v>3</v>
      </c>
      <c r="E270" s="19">
        <v>2516</v>
      </c>
      <c r="F270" s="18">
        <v>8.3000000000000007</v>
      </c>
      <c r="G270" s="21">
        <v>20882.800000000003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17">
        <v>42163</v>
      </c>
      <c r="B271" s="18">
        <v>2</v>
      </c>
      <c r="C271" s="18" t="s">
        <v>17</v>
      </c>
      <c r="D271" s="18">
        <v>3</v>
      </c>
      <c r="E271" s="19">
        <v>3476</v>
      </c>
      <c r="F271" s="18">
        <v>8.3000000000000007</v>
      </c>
      <c r="G271" s="21">
        <v>28850.800000000003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17">
        <v>42170</v>
      </c>
      <c r="B272" s="18">
        <v>1</v>
      </c>
      <c r="C272" s="18" t="s">
        <v>16</v>
      </c>
      <c r="D272" s="18">
        <v>1</v>
      </c>
      <c r="E272" s="19">
        <v>5038</v>
      </c>
      <c r="F272" s="18">
        <v>2.2000000000000002</v>
      </c>
      <c r="G272" s="21">
        <v>11083.6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17">
        <v>42170</v>
      </c>
      <c r="B273" s="18">
        <v>1</v>
      </c>
      <c r="C273" s="18" t="s">
        <v>16</v>
      </c>
      <c r="D273" s="18">
        <v>2</v>
      </c>
      <c r="E273" s="19">
        <v>6755</v>
      </c>
      <c r="F273" s="18">
        <v>1.2</v>
      </c>
      <c r="G273" s="21">
        <v>8106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17">
        <v>42170</v>
      </c>
      <c r="B274" s="18">
        <v>2</v>
      </c>
      <c r="C274" s="18" t="s">
        <v>16</v>
      </c>
      <c r="D274" s="18">
        <v>1</v>
      </c>
      <c r="E274" s="19">
        <v>4232</v>
      </c>
      <c r="F274" s="18">
        <v>2.2000000000000002</v>
      </c>
      <c r="G274" s="21">
        <v>9310.4000000000015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17">
        <v>42170</v>
      </c>
      <c r="B275" s="18">
        <v>2</v>
      </c>
      <c r="C275" s="18" t="s">
        <v>16</v>
      </c>
      <c r="D275" s="18">
        <v>2</v>
      </c>
      <c r="E275" s="19">
        <v>8161</v>
      </c>
      <c r="F275" s="18">
        <v>1.2</v>
      </c>
      <c r="G275" s="21">
        <v>9793.1999999999989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17">
        <v>42170</v>
      </c>
      <c r="B276" s="18">
        <v>1</v>
      </c>
      <c r="C276" s="18" t="s">
        <v>17</v>
      </c>
      <c r="D276" s="18">
        <v>3</v>
      </c>
      <c r="E276" s="19">
        <v>2060</v>
      </c>
      <c r="F276" s="18">
        <v>8.3000000000000007</v>
      </c>
      <c r="G276" s="21">
        <v>17098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17">
        <v>42170</v>
      </c>
      <c r="B277" s="18">
        <v>2</v>
      </c>
      <c r="C277" s="18" t="s">
        <v>17</v>
      </c>
      <c r="D277" s="18">
        <v>3</v>
      </c>
      <c r="E277" s="19">
        <v>2197</v>
      </c>
      <c r="F277" s="18">
        <v>8.3000000000000007</v>
      </c>
      <c r="G277" s="21">
        <v>18235.100000000002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17">
        <v>42177</v>
      </c>
      <c r="B278" s="18">
        <v>1</v>
      </c>
      <c r="C278" s="18" t="s">
        <v>16</v>
      </c>
      <c r="D278" s="18">
        <v>1</v>
      </c>
      <c r="E278" s="19">
        <v>4650</v>
      </c>
      <c r="F278" s="18">
        <v>2.2000000000000002</v>
      </c>
      <c r="G278" s="21">
        <v>10230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17">
        <v>42177</v>
      </c>
      <c r="B279" s="18">
        <v>1</v>
      </c>
      <c r="C279" s="18" t="s">
        <v>16</v>
      </c>
      <c r="D279" s="18">
        <v>2</v>
      </c>
      <c r="E279" s="19">
        <v>6790</v>
      </c>
      <c r="F279" s="18">
        <v>1.2</v>
      </c>
      <c r="G279" s="21">
        <v>8148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17">
        <v>42177</v>
      </c>
      <c r="B280" s="18">
        <v>2</v>
      </c>
      <c r="C280" s="18" t="s">
        <v>16</v>
      </c>
      <c r="D280" s="18">
        <v>1</v>
      </c>
      <c r="E280" s="19">
        <v>2982</v>
      </c>
      <c r="F280" s="18">
        <v>2.2000000000000002</v>
      </c>
      <c r="G280" s="21">
        <v>6560.4000000000005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17">
        <v>42177</v>
      </c>
      <c r="B281" s="18">
        <v>2</v>
      </c>
      <c r="C281" s="18" t="s">
        <v>16</v>
      </c>
      <c r="D281" s="18">
        <v>2</v>
      </c>
      <c r="E281" s="19">
        <v>6792</v>
      </c>
      <c r="F281" s="18">
        <v>1.2</v>
      </c>
      <c r="G281" s="21">
        <v>8150.4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17">
        <v>42177</v>
      </c>
      <c r="B282" s="18">
        <v>1</v>
      </c>
      <c r="C282" s="18" t="s">
        <v>17</v>
      </c>
      <c r="D282" s="18">
        <v>3</v>
      </c>
      <c r="E282" s="19">
        <v>2490</v>
      </c>
      <c r="F282" s="18">
        <v>8.3000000000000007</v>
      </c>
      <c r="G282" s="21">
        <v>20667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17">
        <v>42177</v>
      </c>
      <c r="B283" s="18">
        <v>2</v>
      </c>
      <c r="C283" s="18" t="s">
        <v>17</v>
      </c>
      <c r="D283" s="18">
        <v>3</v>
      </c>
      <c r="E283" s="19">
        <v>2848</v>
      </c>
      <c r="F283" s="18">
        <v>8.3000000000000007</v>
      </c>
      <c r="G283" s="21">
        <v>23638.400000000001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17">
        <v>42184</v>
      </c>
      <c r="B284" s="18">
        <v>1</v>
      </c>
      <c r="C284" s="18" t="s">
        <v>16</v>
      </c>
      <c r="D284" s="18">
        <v>1</v>
      </c>
      <c r="E284" s="19">
        <v>5914</v>
      </c>
      <c r="F284" s="18">
        <v>2.2000000000000002</v>
      </c>
      <c r="G284" s="21">
        <v>13010.800000000001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17">
        <v>42184</v>
      </c>
      <c r="B285" s="18">
        <v>1</v>
      </c>
      <c r="C285" s="18" t="s">
        <v>16</v>
      </c>
      <c r="D285" s="18">
        <v>2</v>
      </c>
      <c r="E285" s="19">
        <v>5831</v>
      </c>
      <c r="F285" s="18">
        <v>1.2</v>
      </c>
      <c r="G285" s="21">
        <v>6997.2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17">
        <v>42184</v>
      </c>
      <c r="B286" s="18">
        <v>2</v>
      </c>
      <c r="C286" s="18" t="s">
        <v>16</v>
      </c>
      <c r="D286" s="18">
        <v>1</v>
      </c>
      <c r="E286" s="19">
        <v>4112</v>
      </c>
      <c r="F286" s="18">
        <v>2.2000000000000002</v>
      </c>
      <c r="G286" s="21">
        <v>9046.4000000000015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17">
        <v>42184</v>
      </c>
      <c r="B287" s="18">
        <v>2</v>
      </c>
      <c r="C287" s="18" t="s">
        <v>16</v>
      </c>
      <c r="D287" s="18">
        <v>2</v>
      </c>
      <c r="E287" s="19">
        <v>5532</v>
      </c>
      <c r="F287" s="18">
        <v>1.2</v>
      </c>
      <c r="G287" s="21">
        <v>6638.4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17">
        <v>42184</v>
      </c>
      <c r="B288" s="18">
        <v>1</v>
      </c>
      <c r="C288" s="18" t="s">
        <v>17</v>
      </c>
      <c r="D288" s="18">
        <v>3</v>
      </c>
      <c r="E288" s="19">
        <v>2181</v>
      </c>
      <c r="F288" s="18">
        <v>8.3000000000000007</v>
      </c>
      <c r="G288" s="21">
        <v>18102.300000000003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17">
        <v>42184</v>
      </c>
      <c r="B289" s="18">
        <v>2</v>
      </c>
      <c r="C289" s="18" t="s">
        <v>17</v>
      </c>
      <c r="D289" s="18">
        <v>3</v>
      </c>
      <c r="E289" s="19">
        <v>2683</v>
      </c>
      <c r="F289" s="18">
        <v>8.3000000000000007</v>
      </c>
      <c r="G289" s="21">
        <v>22268.9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17">
        <v>42191</v>
      </c>
      <c r="B290" s="18">
        <v>1</v>
      </c>
      <c r="C290" s="18" t="s">
        <v>16</v>
      </c>
      <c r="D290" s="18">
        <v>1</v>
      </c>
      <c r="E290" s="19">
        <v>5835</v>
      </c>
      <c r="F290" s="18">
        <v>2.2000000000000002</v>
      </c>
      <c r="G290" s="21">
        <v>12837.000000000002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17">
        <v>42191</v>
      </c>
      <c r="B291" s="18">
        <v>1</v>
      </c>
      <c r="C291" s="18" t="s">
        <v>16</v>
      </c>
      <c r="D291" s="18">
        <v>2</v>
      </c>
      <c r="E291" s="19">
        <v>6447</v>
      </c>
      <c r="F291" s="18">
        <v>1.2</v>
      </c>
      <c r="G291" s="21">
        <v>7736.4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17">
        <v>42191</v>
      </c>
      <c r="B292" s="18">
        <v>2</v>
      </c>
      <c r="C292" s="18" t="s">
        <v>16</v>
      </c>
      <c r="D292" s="18">
        <v>1</v>
      </c>
      <c r="E292" s="19">
        <v>4945</v>
      </c>
      <c r="F292" s="18">
        <v>2.2000000000000002</v>
      </c>
      <c r="G292" s="21">
        <v>10879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17">
        <v>42191</v>
      </c>
      <c r="B293" s="18">
        <v>2</v>
      </c>
      <c r="C293" s="18" t="s">
        <v>16</v>
      </c>
      <c r="D293" s="18">
        <v>2</v>
      </c>
      <c r="E293" s="19">
        <v>6325</v>
      </c>
      <c r="F293" s="18">
        <v>1.2</v>
      </c>
      <c r="G293" s="21">
        <v>7590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17">
        <v>42191</v>
      </c>
      <c r="B294" s="18">
        <v>1</v>
      </c>
      <c r="C294" s="18" t="s">
        <v>17</v>
      </c>
      <c r="D294" s="18">
        <v>3</v>
      </c>
      <c r="E294" s="19">
        <v>2506</v>
      </c>
      <c r="F294" s="18">
        <v>8.3000000000000007</v>
      </c>
      <c r="G294" s="21">
        <v>20799.800000000003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17">
        <v>42191</v>
      </c>
      <c r="B295" s="18">
        <v>2</v>
      </c>
      <c r="C295" s="18" t="s">
        <v>17</v>
      </c>
      <c r="D295" s="18">
        <v>3</v>
      </c>
      <c r="E295" s="19">
        <v>3464</v>
      </c>
      <c r="F295" s="18">
        <v>8.3000000000000007</v>
      </c>
      <c r="G295" s="21">
        <v>28751.200000000001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17">
        <v>42198</v>
      </c>
      <c r="B296" s="18">
        <v>1</v>
      </c>
      <c r="C296" s="18" t="s">
        <v>16</v>
      </c>
      <c r="D296" s="18">
        <v>1</v>
      </c>
      <c r="E296" s="19">
        <v>5542</v>
      </c>
      <c r="F296" s="18">
        <v>2.2000000000000002</v>
      </c>
      <c r="G296" s="21">
        <v>12192.400000000001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17">
        <v>42198</v>
      </c>
      <c r="B297" s="18">
        <v>1</v>
      </c>
      <c r="C297" s="18" t="s">
        <v>16</v>
      </c>
      <c r="D297" s="18">
        <v>2</v>
      </c>
      <c r="E297" s="19">
        <v>7062</v>
      </c>
      <c r="F297" s="18">
        <v>1.2</v>
      </c>
      <c r="G297" s="21">
        <v>8474.4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17">
        <v>42198</v>
      </c>
      <c r="B298" s="18">
        <v>2</v>
      </c>
      <c r="C298" s="18" t="s">
        <v>16</v>
      </c>
      <c r="D298" s="18">
        <v>1</v>
      </c>
      <c r="E298" s="19">
        <v>3776</v>
      </c>
      <c r="F298" s="18">
        <v>2.2000000000000002</v>
      </c>
      <c r="G298" s="21">
        <v>8307.2000000000007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17">
        <v>42198</v>
      </c>
      <c r="B299" s="18">
        <v>2</v>
      </c>
      <c r="C299" s="18" t="s">
        <v>16</v>
      </c>
      <c r="D299" s="18">
        <v>2</v>
      </c>
      <c r="E299" s="19">
        <v>7860</v>
      </c>
      <c r="F299" s="18">
        <v>1.2</v>
      </c>
      <c r="G299" s="21">
        <v>9432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17">
        <v>42198</v>
      </c>
      <c r="B300" s="18">
        <v>1</v>
      </c>
      <c r="C300" s="18" t="s">
        <v>17</v>
      </c>
      <c r="D300" s="18">
        <v>3</v>
      </c>
      <c r="E300" s="19">
        <v>2254</v>
      </c>
      <c r="F300" s="18">
        <v>8.3000000000000007</v>
      </c>
      <c r="G300" s="21">
        <v>18708.2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17">
        <v>42198</v>
      </c>
      <c r="B301" s="18">
        <v>2</v>
      </c>
      <c r="C301" s="18" t="s">
        <v>17</v>
      </c>
      <c r="D301" s="18">
        <v>3</v>
      </c>
      <c r="E301" s="19">
        <v>3084</v>
      </c>
      <c r="F301" s="18">
        <v>8.3000000000000007</v>
      </c>
      <c r="G301" s="21">
        <v>25597.200000000001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17">
        <v>42205</v>
      </c>
      <c r="B302" s="18">
        <v>1</v>
      </c>
      <c r="C302" s="18" t="s">
        <v>16</v>
      </c>
      <c r="D302" s="18">
        <v>1</v>
      </c>
      <c r="E302" s="19">
        <v>5355</v>
      </c>
      <c r="F302" s="18">
        <v>2.2000000000000002</v>
      </c>
      <c r="G302" s="21">
        <v>11781.000000000002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17">
        <v>42205</v>
      </c>
      <c r="B303" s="18">
        <v>1</v>
      </c>
      <c r="C303" s="18" t="s">
        <v>16</v>
      </c>
      <c r="D303" s="18">
        <v>2</v>
      </c>
      <c r="E303" s="19">
        <v>6326</v>
      </c>
      <c r="F303" s="18">
        <v>1.2</v>
      </c>
      <c r="G303" s="21">
        <v>7591.2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17">
        <v>42205</v>
      </c>
      <c r="B304" s="18">
        <v>2</v>
      </c>
      <c r="C304" s="18" t="s">
        <v>16</v>
      </c>
      <c r="D304" s="18">
        <v>1</v>
      </c>
      <c r="E304" s="19">
        <v>4522</v>
      </c>
      <c r="F304" s="18">
        <v>2.2000000000000002</v>
      </c>
      <c r="G304" s="21">
        <v>9948.4000000000015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17">
        <v>42205</v>
      </c>
      <c r="B305" s="18">
        <v>2</v>
      </c>
      <c r="C305" s="18" t="s">
        <v>16</v>
      </c>
      <c r="D305" s="18">
        <v>2</v>
      </c>
      <c r="E305" s="19">
        <v>6182</v>
      </c>
      <c r="F305" s="18">
        <v>1.2</v>
      </c>
      <c r="G305" s="21">
        <v>7418.4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17">
        <v>42205</v>
      </c>
      <c r="B306" s="18">
        <v>1</v>
      </c>
      <c r="C306" s="18" t="s">
        <v>17</v>
      </c>
      <c r="D306" s="18">
        <v>3</v>
      </c>
      <c r="E306" s="19">
        <v>2242</v>
      </c>
      <c r="F306" s="18">
        <v>8.3000000000000007</v>
      </c>
      <c r="G306" s="21">
        <v>18608.600000000002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17">
        <v>42205</v>
      </c>
      <c r="B307" s="18">
        <v>2</v>
      </c>
      <c r="C307" s="18" t="s">
        <v>17</v>
      </c>
      <c r="D307" s="18">
        <v>3</v>
      </c>
      <c r="E307" s="19">
        <v>2768</v>
      </c>
      <c r="F307" s="18">
        <v>8.3000000000000007</v>
      </c>
      <c r="G307" s="21">
        <v>22974.400000000001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17">
        <v>42212</v>
      </c>
      <c r="B308" s="18">
        <v>1</v>
      </c>
      <c r="C308" s="18" t="s">
        <v>16</v>
      </c>
      <c r="D308" s="18">
        <v>1</v>
      </c>
      <c r="E308" s="19">
        <v>5038</v>
      </c>
      <c r="F308" s="18">
        <v>2.2000000000000002</v>
      </c>
      <c r="G308" s="21">
        <v>11083.6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17">
        <v>42212</v>
      </c>
      <c r="B309" s="18">
        <v>1</v>
      </c>
      <c r="C309" s="18" t="s">
        <v>16</v>
      </c>
      <c r="D309" s="18">
        <v>2</v>
      </c>
      <c r="E309" s="19">
        <v>6156</v>
      </c>
      <c r="F309" s="18">
        <v>1.2</v>
      </c>
      <c r="G309" s="21">
        <v>7387.2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17">
        <v>42212</v>
      </c>
      <c r="B310" s="18">
        <v>2</v>
      </c>
      <c r="C310" s="18" t="s">
        <v>16</v>
      </c>
      <c r="D310" s="18">
        <v>1</v>
      </c>
      <c r="E310" s="19">
        <v>3924</v>
      </c>
      <c r="F310" s="18">
        <v>2.2000000000000002</v>
      </c>
      <c r="G310" s="21">
        <v>8632.8000000000011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17">
        <v>42212</v>
      </c>
      <c r="B311" s="18">
        <v>2</v>
      </c>
      <c r="C311" s="18" t="s">
        <v>16</v>
      </c>
      <c r="D311" s="18">
        <v>2</v>
      </c>
      <c r="E311" s="19">
        <v>7368</v>
      </c>
      <c r="F311" s="18">
        <v>1.2</v>
      </c>
      <c r="G311" s="21">
        <v>8841.6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17">
        <v>42212</v>
      </c>
      <c r="B312" s="18">
        <v>1</v>
      </c>
      <c r="C312" s="18" t="s">
        <v>17</v>
      </c>
      <c r="D312" s="18">
        <v>3</v>
      </c>
      <c r="E312" s="19">
        <v>2517</v>
      </c>
      <c r="F312" s="18">
        <v>8.3000000000000007</v>
      </c>
      <c r="G312" s="21">
        <v>20891.100000000002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17">
        <v>42212</v>
      </c>
      <c r="B313" s="18">
        <v>2</v>
      </c>
      <c r="C313" s="18" t="s">
        <v>17</v>
      </c>
      <c r="D313" s="18">
        <v>3</v>
      </c>
      <c r="E313" s="19">
        <v>2888</v>
      </c>
      <c r="F313" s="18">
        <v>8.3000000000000007</v>
      </c>
      <c r="G313" s="21">
        <v>23970.400000000001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22"/>
      <c r="B314" s="7"/>
      <c r="C314" s="7"/>
      <c r="D314" s="7"/>
      <c r="E314" s="21"/>
      <c r="F314" s="7"/>
      <c r="G314" s="2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22"/>
      <c r="B315" s="7"/>
      <c r="C315" s="7"/>
      <c r="D315" s="7"/>
      <c r="E315" s="23" t="s">
        <v>23</v>
      </c>
      <c r="F315" s="7"/>
      <c r="G315" s="2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22"/>
      <c r="B316" s="7"/>
      <c r="C316" s="7"/>
      <c r="D316" s="7"/>
      <c r="E316" s="21"/>
      <c r="F316" s="7"/>
      <c r="G316" s="2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22"/>
      <c r="B317" s="7"/>
      <c r="C317" s="7"/>
      <c r="D317" s="7"/>
      <c r="E317" s="21"/>
      <c r="F317" s="7"/>
      <c r="G317" s="2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22"/>
      <c r="B318" s="7"/>
      <c r="C318" s="7"/>
      <c r="D318" s="7"/>
      <c r="E318" s="21"/>
      <c r="F318" s="7"/>
      <c r="G318" s="2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22"/>
      <c r="B319" s="7"/>
      <c r="C319" s="7"/>
      <c r="D319" s="7"/>
      <c r="E319" s="21"/>
      <c r="F319" s="7"/>
      <c r="G319" s="2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22"/>
      <c r="B320" s="7"/>
      <c r="C320" s="7"/>
      <c r="D320" s="7"/>
      <c r="E320" s="21"/>
      <c r="F320" s="7"/>
      <c r="G320" s="2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22"/>
      <c r="B321" s="7"/>
      <c r="C321" s="7"/>
      <c r="D321" s="7"/>
      <c r="E321" s="21"/>
      <c r="F321" s="7"/>
      <c r="G321" s="2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22"/>
      <c r="B322" s="7"/>
      <c r="C322" s="7"/>
      <c r="D322" s="7"/>
      <c r="E322" s="21"/>
      <c r="F322" s="7"/>
      <c r="G322" s="2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22"/>
      <c r="B323" s="7"/>
      <c r="C323" s="7"/>
      <c r="D323" s="7"/>
      <c r="E323" s="21"/>
      <c r="F323" s="7"/>
      <c r="G323" s="2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22"/>
      <c r="B324" s="7"/>
      <c r="C324" s="7"/>
      <c r="D324" s="7"/>
      <c r="E324" s="21"/>
      <c r="F324" s="7"/>
      <c r="G324" s="2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22"/>
      <c r="B325" s="7"/>
      <c r="C325" s="7"/>
      <c r="D325" s="7"/>
      <c r="E325" s="21"/>
      <c r="F325" s="7"/>
      <c r="G325" s="2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22"/>
      <c r="B326" s="7"/>
      <c r="C326" s="7"/>
      <c r="D326" s="7"/>
      <c r="E326" s="21"/>
      <c r="F326" s="7"/>
      <c r="G326" s="2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22"/>
      <c r="B327" s="7"/>
      <c r="C327" s="7"/>
      <c r="D327" s="7"/>
      <c r="E327" s="21"/>
      <c r="F327" s="7"/>
      <c r="G327" s="2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22"/>
      <c r="B328" s="7"/>
      <c r="C328" s="7"/>
      <c r="D328" s="7"/>
      <c r="E328" s="21"/>
      <c r="F328" s="7"/>
      <c r="G328" s="2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22"/>
      <c r="B329" s="7"/>
      <c r="C329" s="7"/>
      <c r="D329" s="7"/>
      <c r="E329" s="21"/>
      <c r="F329" s="7"/>
      <c r="G329" s="2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22"/>
      <c r="B330" s="7"/>
      <c r="C330" s="7"/>
      <c r="D330" s="7"/>
      <c r="E330" s="21"/>
      <c r="F330" s="7"/>
      <c r="G330" s="2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22"/>
      <c r="B331" s="7"/>
      <c r="C331" s="7"/>
      <c r="D331" s="7"/>
      <c r="E331" s="21"/>
      <c r="F331" s="7"/>
      <c r="G331" s="2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22"/>
      <c r="B332" s="7"/>
      <c r="C332" s="7"/>
      <c r="D332" s="7"/>
      <c r="E332" s="21"/>
      <c r="F332" s="7"/>
      <c r="G332" s="2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22"/>
      <c r="B333" s="7"/>
      <c r="C333" s="7"/>
      <c r="D333" s="7"/>
      <c r="E333" s="21"/>
      <c r="F333" s="7"/>
      <c r="G333" s="2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22"/>
      <c r="B334" s="7"/>
      <c r="C334" s="7"/>
      <c r="D334" s="7"/>
      <c r="E334" s="21"/>
      <c r="F334" s="7"/>
      <c r="G334" s="2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22"/>
      <c r="B335" s="7"/>
      <c r="C335" s="7"/>
      <c r="D335" s="7"/>
      <c r="E335" s="21"/>
      <c r="F335" s="7"/>
      <c r="G335" s="2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22"/>
      <c r="B336" s="7"/>
      <c r="C336" s="7"/>
      <c r="D336" s="7"/>
      <c r="E336" s="21"/>
      <c r="F336" s="7"/>
      <c r="G336" s="2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22"/>
      <c r="B337" s="7"/>
      <c r="C337" s="7"/>
      <c r="D337" s="7"/>
      <c r="E337" s="21"/>
      <c r="F337" s="7"/>
      <c r="G337" s="2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22"/>
      <c r="B338" s="7"/>
      <c r="C338" s="7"/>
      <c r="D338" s="7"/>
      <c r="E338" s="21"/>
      <c r="F338" s="7"/>
      <c r="G338" s="2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22"/>
      <c r="B339" s="7"/>
      <c r="C339" s="7"/>
      <c r="D339" s="7"/>
      <c r="E339" s="21"/>
      <c r="F339" s="7"/>
      <c r="G339" s="2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22"/>
      <c r="B340" s="7"/>
      <c r="C340" s="7"/>
      <c r="D340" s="7"/>
      <c r="E340" s="21"/>
      <c r="F340" s="7"/>
      <c r="G340" s="2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22"/>
      <c r="B341" s="7"/>
      <c r="C341" s="7"/>
      <c r="D341" s="7"/>
      <c r="E341" s="21"/>
      <c r="F341" s="7"/>
      <c r="G341" s="2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22"/>
      <c r="B342" s="7"/>
      <c r="C342" s="7"/>
      <c r="D342" s="7"/>
      <c r="E342" s="21"/>
      <c r="F342" s="7"/>
      <c r="G342" s="2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22"/>
      <c r="B343" s="7"/>
      <c r="C343" s="7"/>
      <c r="D343" s="7"/>
      <c r="E343" s="21"/>
      <c r="F343" s="7"/>
      <c r="G343" s="2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22"/>
      <c r="B344" s="7"/>
      <c r="C344" s="7"/>
      <c r="D344" s="7"/>
      <c r="E344" s="21"/>
      <c r="F344" s="7"/>
      <c r="G344" s="2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22"/>
      <c r="B345" s="7"/>
      <c r="C345" s="7"/>
      <c r="D345" s="7"/>
      <c r="E345" s="21"/>
      <c r="F345" s="7"/>
      <c r="G345" s="2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22"/>
      <c r="B346" s="7"/>
      <c r="C346" s="7"/>
      <c r="D346" s="7"/>
      <c r="E346" s="21"/>
      <c r="F346" s="7"/>
      <c r="G346" s="2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22"/>
      <c r="B347" s="7"/>
      <c r="C347" s="7"/>
      <c r="D347" s="7"/>
      <c r="E347" s="21"/>
      <c r="F347" s="7"/>
      <c r="G347" s="2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22"/>
      <c r="B348" s="7"/>
      <c r="C348" s="7"/>
      <c r="D348" s="7"/>
      <c r="E348" s="21"/>
      <c r="F348" s="7"/>
      <c r="G348" s="2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22"/>
      <c r="B349" s="7"/>
      <c r="C349" s="7"/>
      <c r="D349" s="7"/>
      <c r="E349" s="21"/>
      <c r="F349" s="7"/>
      <c r="G349" s="2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22"/>
      <c r="B350" s="7"/>
      <c r="C350" s="7"/>
      <c r="D350" s="7"/>
      <c r="E350" s="21"/>
      <c r="F350" s="7"/>
      <c r="G350" s="2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22"/>
      <c r="B351" s="7"/>
      <c r="C351" s="7"/>
      <c r="D351" s="7"/>
      <c r="E351" s="21"/>
      <c r="F351" s="7"/>
      <c r="G351" s="2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22"/>
      <c r="B352" s="7"/>
      <c r="C352" s="7"/>
      <c r="D352" s="7"/>
      <c r="E352" s="21"/>
      <c r="F352" s="7"/>
      <c r="G352" s="2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22"/>
      <c r="B353" s="7"/>
      <c r="C353" s="7"/>
      <c r="D353" s="7"/>
      <c r="E353" s="21"/>
      <c r="F353" s="7"/>
      <c r="G353" s="2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22"/>
      <c r="B354" s="7"/>
      <c r="C354" s="7"/>
      <c r="D354" s="7"/>
      <c r="E354" s="21"/>
      <c r="F354" s="7"/>
      <c r="G354" s="2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22"/>
      <c r="B355" s="7"/>
      <c r="C355" s="7"/>
      <c r="D355" s="7"/>
      <c r="E355" s="21"/>
      <c r="F355" s="7"/>
      <c r="G355" s="2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22"/>
      <c r="B356" s="7"/>
      <c r="C356" s="7"/>
      <c r="D356" s="7"/>
      <c r="E356" s="21"/>
      <c r="F356" s="7"/>
      <c r="G356" s="2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22"/>
      <c r="B357" s="7"/>
      <c r="C357" s="7"/>
      <c r="D357" s="7"/>
      <c r="E357" s="21"/>
      <c r="F357" s="7"/>
      <c r="G357" s="2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22"/>
      <c r="B358" s="7"/>
      <c r="C358" s="7"/>
      <c r="D358" s="7"/>
      <c r="E358" s="21"/>
      <c r="F358" s="7"/>
      <c r="G358" s="2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22"/>
      <c r="B359" s="7"/>
      <c r="C359" s="7"/>
      <c r="D359" s="7"/>
      <c r="E359" s="21"/>
      <c r="F359" s="7"/>
      <c r="G359" s="2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22"/>
      <c r="B360" s="7"/>
      <c r="C360" s="7"/>
      <c r="D360" s="7"/>
      <c r="E360" s="21"/>
      <c r="F360" s="7"/>
      <c r="G360" s="2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22"/>
      <c r="B361" s="7"/>
      <c r="C361" s="7"/>
      <c r="D361" s="7"/>
      <c r="E361" s="21"/>
      <c r="F361" s="7"/>
      <c r="G361" s="2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22"/>
      <c r="B362" s="7"/>
      <c r="C362" s="7"/>
      <c r="D362" s="7"/>
      <c r="E362" s="21"/>
      <c r="F362" s="7"/>
      <c r="G362" s="2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22"/>
      <c r="B363" s="7"/>
      <c r="C363" s="7"/>
      <c r="D363" s="7"/>
      <c r="E363" s="21"/>
      <c r="F363" s="7"/>
      <c r="G363" s="2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22"/>
      <c r="B364" s="7"/>
      <c r="C364" s="7"/>
      <c r="D364" s="7"/>
      <c r="E364" s="21"/>
      <c r="F364" s="7"/>
      <c r="G364" s="2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22"/>
      <c r="B365" s="7"/>
      <c r="C365" s="7"/>
      <c r="D365" s="7"/>
      <c r="E365" s="21"/>
      <c r="F365" s="7"/>
      <c r="G365" s="2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22"/>
      <c r="B366" s="7"/>
      <c r="C366" s="7"/>
      <c r="D366" s="7"/>
      <c r="E366" s="21"/>
      <c r="F366" s="7"/>
      <c r="G366" s="2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22"/>
      <c r="B367" s="7"/>
      <c r="C367" s="7"/>
      <c r="D367" s="7"/>
      <c r="E367" s="21"/>
      <c r="F367" s="7"/>
      <c r="G367" s="2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22"/>
      <c r="B368" s="7"/>
      <c r="C368" s="7"/>
      <c r="D368" s="7"/>
      <c r="E368" s="21"/>
      <c r="F368" s="7"/>
      <c r="G368" s="2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22"/>
      <c r="B369" s="7"/>
      <c r="C369" s="7"/>
      <c r="D369" s="7"/>
      <c r="E369" s="21"/>
      <c r="F369" s="7"/>
      <c r="G369" s="2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22"/>
      <c r="B370" s="7"/>
      <c r="C370" s="7"/>
      <c r="D370" s="7"/>
      <c r="E370" s="21"/>
      <c r="F370" s="7"/>
      <c r="G370" s="2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22"/>
      <c r="B371" s="7"/>
      <c r="C371" s="7"/>
      <c r="D371" s="7"/>
      <c r="E371" s="21"/>
      <c r="F371" s="7"/>
      <c r="G371" s="2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22"/>
      <c r="B372" s="7"/>
      <c r="C372" s="7"/>
      <c r="D372" s="7"/>
      <c r="E372" s="21"/>
      <c r="F372" s="7"/>
      <c r="G372" s="2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22"/>
      <c r="B373" s="7"/>
      <c r="C373" s="7"/>
      <c r="D373" s="7"/>
      <c r="E373" s="21"/>
      <c r="F373" s="7"/>
      <c r="G373" s="2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22"/>
      <c r="B374" s="7"/>
      <c r="C374" s="7"/>
      <c r="D374" s="7"/>
      <c r="E374" s="21"/>
      <c r="F374" s="7"/>
      <c r="G374" s="2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22"/>
      <c r="B375" s="7"/>
      <c r="C375" s="7"/>
      <c r="D375" s="7"/>
      <c r="E375" s="21"/>
      <c r="F375" s="7"/>
      <c r="G375" s="2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22"/>
      <c r="B376" s="7"/>
      <c r="C376" s="7"/>
      <c r="D376" s="7"/>
      <c r="E376" s="21"/>
      <c r="F376" s="7"/>
      <c r="G376" s="2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22"/>
      <c r="B377" s="7"/>
      <c r="C377" s="7"/>
      <c r="D377" s="7"/>
      <c r="E377" s="21"/>
      <c r="F377" s="7"/>
      <c r="G377" s="2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22"/>
      <c r="B378" s="7"/>
      <c r="C378" s="7"/>
      <c r="D378" s="7"/>
      <c r="E378" s="21"/>
      <c r="F378" s="7"/>
      <c r="G378" s="2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22"/>
      <c r="B379" s="7"/>
      <c r="C379" s="7"/>
      <c r="D379" s="7"/>
      <c r="E379" s="21"/>
      <c r="F379" s="7"/>
      <c r="G379" s="2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22"/>
      <c r="B380" s="7"/>
      <c r="C380" s="7"/>
      <c r="D380" s="7"/>
      <c r="E380" s="21"/>
      <c r="F380" s="7"/>
      <c r="G380" s="2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22"/>
      <c r="B381" s="7"/>
      <c r="C381" s="7"/>
      <c r="D381" s="7"/>
      <c r="E381" s="21"/>
      <c r="F381" s="7"/>
      <c r="G381" s="2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22"/>
      <c r="B382" s="7"/>
      <c r="C382" s="7"/>
      <c r="D382" s="7"/>
      <c r="E382" s="21"/>
      <c r="F382" s="7"/>
      <c r="G382" s="2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22"/>
      <c r="B383" s="7"/>
      <c r="C383" s="7"/>
      <c r="D383" s="7"/>
      <c r="E383" s="21"/>
      <c r="F383" s="7"/>
      <c r="G383" s="2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22"/>
      <c r="B384" s="7"/>
      <c r="C384" s="7"/>
      <c r="D384" s="7"/>
      <c r="E384" s="21"/>
      <c r="F384" s="7"/>
      <c r="G384" s="2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22"/>
      <c r="B385" s="7"/>
      <c r="C385" s="7"/>
      <c r="D385" s="7"/>
      <c r="E385" s="21"/>
      <c r="F385" s="7"/>
      <c r="G385" s="2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22"/>
      <c r="B386" s="7"/>
      <c r="C386" s="7"/>
      <c r="D386" s="7"/>
      <c r="E386" s="21"/>
      <c r="F386" s="7"/>
      <c r="G386" s="2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22"/>
      <c r="B387" s="7"/>
      <c r="C387" s="7"/>
      <c r="D387" s="7"/>
      <c r="E387" s="21"/>
      <c r="F387" s="7"/>
      <c r="G387" s="2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22"/>
      <c r="B388" s="7"/>
      <c r="C388" s="7"/>
      <c r="D388" s="7"/>
      <c r="E388" s="21"/>
      <c r="F388" s="7"/>
      <c r="G388" s="2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22"/>
      <c r="B389" s="7"/>
      <c r="C389" s="7"/>
      <c r="D389" s="7"/>
      <c r="E389" s="21"/>
      <c r="F389" s="7"/>
      <c r="G389" s="2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22"/>
      <c r="B390" s="7"/>
      <c r="C390" s="7"/>
      <c r="D390" s="7"/>
      <c r="E390" s="21"/>
      <c r="F390" s="7"/>
      <c r="G390" s="2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22"/>
      <c r="B391" s="7"/>
      <c r="C391" s="7"/>
      <c r="D391" s="7"/>
      <c r="E391" s="21"/>
      <c r="F391" s="7"/>
      <c r="G391" s="2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22"/>
      <c r="B392" s="7"/>
      <c r="C392" s="7"/>
      <c r="D392" s="7"/>
      <c r="E392" s="21"/>
      <c r="F392" s="7"/>
      <c r="G392" s="2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22"/>
      <c r="B393" s="7"/>
      <c r="C393" s="7"/>
      <c r="D393" s="7"/>
      <c r="E393" s="21"/>
      <c r="F393" s="7"/>
      <c r="G393" s="2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22"/>
      <c r="B394" s="7"/>
      <c r="C394" s="7"/>
      <c r="D394" s="7"/>
      <c r="E394" s="21"/>
      <c r="F394" s="7"/>
      <c r="G394" s="2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22"/>
      <c r="B395" s="7"/>
      <c r="C395" s="7"/>
      <c r="D395" s="7"/>
      <c r="E395" s="21"/>
      <c r="F395" s="7"/>
      <c r="G395" s="2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22"/>
      <c r="B396" s="7"/>
      <c r="C396" s="7"/>
      <c r="D396" s="7"/>
      <c r="E396" s="21"/>
      <c r="F396" s="7"/>
      <c r="G396" s="2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22"/>
      <c r="B397" s="7"/>
      <c r="C397" s="7"/>
      <c r="D397" s="7"/>
      <c r="E397" s="21"/>
      <c r="F397" s="7"/>
      <c r="G397" s="2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22"/>
      <c r="B398" s="7"/>
      <c r="C398" s="7"/>
      <c r="D398" s="7"/>
      <c r="E398" s="21"/>
      <c r="F398" s="7"/>
      <c r="G398" s="2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22"/>
      <c r="B399" s="7"/>
      <c r="C399" s="7"/>
      <c r="D399" s="7"/>
      <c r="E399" s="21"/>
      <c r="F399" s="7"/>
      <c r="G399" s="2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22"/>
      <c r="B400" s="7"/>
      <c r="C400" s="7"/>
      <c r="D400" s="7"/>
      <c r="E400" s="21"/>
      <c r="F400" s="7"/>
      <c r="G400" s="2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22"/>
      <c r="B401" s="7"/>
      <c r="C401" s="7"/>
      <c r="D401" s="7"/>
      <c r="E401" s="21"/>
      <c r="F401" s="7"/>
      <c r="G401" s="2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22"/>
      <c r="B402" s="7"/>
      <c r="C402" s="7"/>
      <c r="D402" s="7"/>
      <c r="E402" s="21"/>
      <c r="F402" s="7"/>
      <c r="G402" s="2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22"/>
      <c r="B403" s="7"/>
      <c r="C403" s="7"/>
      <c r="D403" s="7"/>
      <c r="E403" s="21"/>
      <c r="F403" s="7"/>
      <c r="G403" s="2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22"/>
      <c r="B404" s="7"/>
      <c r="C404" s="7"/>
      <c r="D404" s="7"/>
      <c r="E404" s="21"/>
      <c r="F404" s="7"/>
      <c r="G404" s="2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22"/>
      <c r="B405" s="7"/>
      <c r="C405" s="7"/>
      <c r="D405" s="7"/>
      <c r="E405" s="21"/>
      <c r="F405" s="7"/>
      <c r="G405" s="2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22"/>
      <c r="B406" s="7"/>
      <c r="C406" s="7"/>
      <c r="D406" s="7"/>
      <c r="E406" s="21"/>
      <c r="F406" s="7"/>
      <c r="G406" s="2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22"/>
      <c r="B407" s="7"/>
      <c r="C407" s="7"/>
      <c r="D407" s="7"/>
      <c r="E407" s="21"/>
      <c r="F407" s="7"/>
      <c r="G407" s="2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22"/>
      <c r="B408" s="7"/>
      <c r="C408" s="7"/>
      <c r="D408" s="7"/>
      <c r="E408" s="21"/>
      <c r="F408" s="7"/>
      <c r="G408" s="2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22"/>
      <c r="B409" s="7"/>
      <c r="C409" s="7"/>
      <c r="D409" s="7"/>
      <c r="E409" s="21"/>
      <c r="F409" s="7"/>
      <c r="G409" s="2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22"/>
      <c r="B410" s="7"/>
      <c r="C410" s="7"/>
      <c r="D410" s="7"/>
      <c r="E410" s="21"/>
      <c r="F410" s="7"/>
      <c r="G410" s="2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22"/>
      <c r="B411" s="7"/>
      <c r="C411" s="7"/>
      <c r="D411" s="7"/>
      <c r="E411" s="21"/>
      <c r="F411" s="7"/>
      <c r="G411" s="2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22"/>
      <c r="B412" s="7"/>
      <c r="C412" s="7"/>
      <c r="D412" s="7"/>
      <c r="E412" s="21"/>
      <c r="F412" s="7"/>
      <c r="G412" s="2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22"/>
      <c r="B413" s="7"/>
      <c r="C413" s="7"/>
      <c r="D413" s="7"/>
      <c r="E413" s="21"/>
      <c r="F413" s="7"/>
      <c r="G413" s="2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22"/>
      <c r="B414" s="7"/>
      <c r="C414" s="7"/>
      <c r="D414" s="7"/>
      <c r="E414" s="21"/>
      <c r="F414" s="7"/>
      <c r="G414" s="2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22"/>
      <c r="B415" s="7"/>
      <c r="C415" s="7"/>
      <c r="D415" s="7"/>
      <c r="E415" s="21"/>
      <c r="F415" s="7"/>
      <c r="G415" s="2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22"/>
      <c r="B416" s="7"/>
      <c r="C416" s="7"/>
      <c r="D416" s="7"/>
      <c r="E416" s="21"/>
      <c r="F416" s="7"/>
      <c r="G416" s="2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22"/>
      <c r="B417" s="7"/>
      <c r="C417" s="7"/>
      <c r="D417" s="7"/>
      <c r="E417" s="21"/>
      <c r="F417" s="7"/>
      <c r="G417" s="2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22"/>
      <c r="B418" s="7"/>
      <c r="C418" s="7"/>
      <c r="D418" s="7"/>
      <c r="E418" s="21"/>
      <c r="F418" s="7"/>
      <c r="G418" s="2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22"/>
      <c r="B419" s="7"/>
      <c r="C419" s="7"/>
      <c r="D419" s="7"/>
      <c r="E419" s="21"/>
      <c r="F419" s="7"/>
      <c r="G419" s="2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22"/>
      <c r="B420" s="7"/>
      <c r="C420" s="7"/>
      <c r="D420" s="7"/>
      <c r="E420" s="21"/>
      <c r="F420" s="7"/>
      <c r="G420" s="2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22"/>
      <c r="B421" s="7"/>
      <c r="C421" s="7"/>
      <c r="D421" s="7"/>
      <c r="E421" s="21"/>
      <c r="F421" s="7"/>
      <c r="G421" s="2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22"/>
      <c r="B422" s="7"/>
      <c r="C422" s="7"/>
      <c r="D422" s="7"/>
      <c r="E422" s="21"/>
      <c r="F422" s="7"/>
      <c r="G422" s="2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22"/>
      <c r="B423" s="7"/>
      <c r="C423" s="7"/>
      <c r="D423" s="7"/>
      <c r="E423" s="21"/>
      <c r="F423" s="7"/>
      <c r="G423" s="2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22"/>
      <c r="B424" s="7"/>
      <c r="C424" s="7"/>
      <c r="D424" s="7"/>
      <c r="E424" s="21"/>
      <c r="F424" s="7"/>
      <c r="G424" s="2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22"/>
      <c r="B425" s="7"/>
      <c r="C425" s="7"/>
      <c r="D425" s="7"/>
      <c r="E425" s="21"/>
      <c r="F425" s="7"/>
      <c r="G425" s="2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22"/>
      <c r="B426" s="7"/>
      <c r="C426" s="7"/>
      <c r="D426" s="7"/>
      <c r="E426" s="21"/>
      <c r="F426" s="7"/>
      <c r="G426" s="2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22"/>
      <c r="B427" s="7"/>
      <c r="C427" s="7"/>
      <c r="D427" s="7"/>
      <c r="E427" s="21"/>
      <c r="F427" s="7"/>
      <c r="G427" s="2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22"/>
      <c r="B428" s="7"/>
      <c r="C428" s="7"/>
      <c r="D428" s="7"/>
      <c r="E428" s="21"/>
      <c r="F428" s="7"/>
      <c r="G428" s="2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22"/>
      <c r="B429" s="7"/>
      <c r="C429" s="7"/>
      <c r="D429" s="7"/>
      <c r="E429" s="21"/>
      <c r="F429" s="7"/>
      <c r="G429" s="2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22"/>
      <c r="B430" s="7"/>
      <c r="C430" s="7"/>
      <c r="D430" s="7"/>
      <c r="E430" s="21"/>
      <c r="F430" s="7"/>
      <c r="G430" s="2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22"/>
      <c r="B431" s="7"/>
      <c r="C431" s="7"/>
      <c r="D431" s="7"/>
      <c r="E431" s="21"/>
      <c r="F431" s="7"/>
      <c r="G431" s="2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22"/>
      <c r="B432" s="7"/>
      <c r="C432" s="7"/>
      <c r="D432" s="7"/>
      <c r="E432" s="21"/>
      <c r="F432" s="7"/>
      <c r="G432" s="2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22"/>
      <c r="B433" s="7"/>
      <c r="C433" s="7"/>
      <c r="D433" s="7"/>
      <c r="E433" s="21"/>
      <c r="F433" s="7"/>
      <c r="G433" s="2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22"/>
      <c r="B434" s="7"/>
      <c r="C434" s="7"/>
      <c r="D434" s="7"/>
      <c r="E434" s="21"/>
      <c r="F434" s="7"/>
      <c r="G434" s="2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22"/>
      <c r="B435" s="7"/>
      <c r="C435" s="7"/>
      <c r="D435" s="7"/>
      <c r="E435" s="21"/>
      <c r="F435" s="7"/>
      <c r="G435" s="2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22"/>
      <c r="B436" s="7"/>
      <c r="C436" s="7"/>
      <c r="D436" s="7"/>
      <c r="E436" s="21"/>
      <c r="F436" s="7"/>
      <c r="G436" s="2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22"/>
      <c r="B437" s="7"/>
      <c r="C437" s="7"/>
      <c r="D437" s="7"/>
      <c r="E437" s="21"/>
      <c r="F437" s="7"/>
      <c r="G437" s="2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22"/>
      <c r="B438" s="7"/>
      <c r="C438" s="7"/>
      <c r="D438" s="7"/>
      <c r="E438" s="21"/>
      <c r="F438" s="7"/>
      <c r="G438" s="2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22"/>
      <c r="B439" s="7"/>
      <c r="C439" s="7"/>
      <c r="D439" s="7"/>
      <c r="E439" s="21"/>
      <c r="F439" s="7"/>
      <c r="G439" s="2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22"/>
      <c r="B440" s="7"/>
      <c r="C440" s="7"/>
      <c r="D440" s="7"/>
      <c r="E440" s="21"/>
      <c r="F440" s="7"/>
      <c r="G440" s="2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22"/>
      <c r="B441" s="7"/>
      <c r="C441" s="7"/>
      <c r="D441" s="7"/>
      <c r="E441" s="21"/>
      <c r="F441" s="7"/>
      <c r="G441" s="2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22"/>
      <c r="B442" s="7"/>
      <c r="C442" s="7"/>
      <c r="D442" s="7"/>
      <c r="E442" s="21"/>
      <c r="F442" s="7"/>
      <c r="G442" s="2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22"/>
      <c r="B443" s="7"/>
      <c r="C443" s="7"/>
      <c r="D443" s="7"/>
      <c r="E443" s="21"/>
      <c r="F443" s="7"/>
      <c r="G443" s="2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22"/>
      <c r="B444" s="7"/>
      <c r="C444" s="7"/>
      <c r="D444" s="7"/>
      <c r="E444" s="21"/>
      <c r="F444" s="7"/>
      <c r="G444" s="2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22"/>
      <c r="B445" s="7"/>
      <c r="C445" s="7"/>
      <c r="D445" s="7"/>
      <c r="E445" s="21"/>
      <c r="F445" s="7"/>
      <c r="G445" s="2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22"/>
      <c r="B446" s="7"/>
      <c r="C446" s="7"/>
      <c r="D446" s="7"/>
      <c r="E446" s="21"/>
      <c r="F446" s="7"/>
      <c r="G446" s="2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22"/>
      <c r="B447" s="7"/>
      <c r="C447" s="7"/>
      <c r="D447" s="7"/>
      <c r="E447" s="21"/>
      <c r="F447" s="7"/>
      <c r="G447" s="2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22"/>
      <c r="B448" s="7"/>
      <c r="C448" s="7"/>
      <c r="D448" s="7"/>
      <c r="E448" s="21"/>
      <c r="F448" s="7"/>
      <c r="G448" s="2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22"/>
      <c r="B449" s="7"/>
      <c r="C449" s="7"/>
      <c r="D449" s="7"/>
      <c r="E449" s="21"/>
      <c r="F449" s="7"/>
      <c r="G449" s="2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22"/>
      <c r="B450" s="7"/>
      <c r="C450" s="7"/>
      <c r="D450" s="7"/>
      <c r="E450" s="21"/>
      <c r="F450" s="7"/>
      <c r="G450" s="2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22"/>
      <c r="B451" s="7"/>
      <c r="C451" s="7"/>
      <c r="D451" s="7"/>
      <c r="E451" s="21"/>
      <c r="F451" s="7"/>
      <c r="G451" s="2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22"/>
      <c r="B452" s="7"/>
      <c r="C452" s="7"/>
      <c r="D452" s="7"/>
      <c r="E452" s="21"/>
      <c r="F452" s="7"/>
      <c r="G452" s="2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22"/>
      <c r="B453" s="7"/>
      <c r="C453" s="7"/>
      <c r="D453" s="7"/>
      <c r="E453" s="21"/>
      <c r="F453" s="7"/>
      <c r="G453" s="2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22"/>
      <c r="B454" s="7"/>
      <c r="C454" s="7"/>
      <c r="D454" s="7"/>
      <c r="E454" s="21"/>
      <c r="F454" s="7"/>
      <c r="G454" s="2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22"/>
      <c r="B455" s="7"/>
      <c r="C455" s="7"/>
      <c r="D455" s="7"/>
      <c r="E455" s="21"/>
      <c r="F455" s="7"/>
      <c r="G455" s="2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22"/>
      <c r="B456" s="7"/>
      <c r="C456" s="7"/>
      <c r="D456" s="7"/>
      <c r="E456" s="21"/>
      <c r="F456" s="7"/>
      <c r="G456" s="2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22"/>
      <c r="B457" s="7"/>
      <c r="C457" s="7"/>
      <c r="D457" s="7"/>
      <c r="E457" s="21"/>
      <c r="F457" s="7"/>
      <c r="G457" s="2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22"/>
      <c r="B458" s="7"/>
      <c r="C458" s="7"/>
      <c r="D458" s="7"/>
      <c r="E458" s="21"/>
      <c r="F458" s="7"/>
      <c r="G458" s="2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22"/>
      <c r="B459" s="7"/>
      <c r="C459" s="7"/>
      <c r="D459" s="7"/>
      <c r="E459" s="21"/>
      <c r="F459" s="7"/>
      <c r="G459" s="2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22"/>
      <c r="B460" s="7"/>
      <c r="C460" s="7"/>
      <c r="D460" s="7"/>
      <c r="E460" s="21"/>
      <c r="F460" s="7"/>
      <c r="G460" s="2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22"/>
      <c r="B461" s="7"/>
      <c r="C461" s="7"/>
      <c r="D461" s="7"/>
      <c r="E461" s="21"/>
      <c r="F461" s="7"/>
      <c r="G461" s="2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22"/>
      <c r="B462" s="7"/>
      <c r="C462" s="7"/>
      <c r="D462" s="7"/>
      <c r="E462" s="21"/>
      <c r="F462" s="7"/>
      <c r="G462" s="2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22"/>
      <c r="B463" s="7"/>
      <c r="C463" s="7"/>
      <c r="D463" s="7"/>
      <c r="E463" s="21"/>
      <c r="F463" s="7"/>
      <c r="G463" s="2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22"/>
      <c r="B464" s="7"/>
      <c r="C464" s="7"/>
      <c r="D464" s="7"/>
      <c r="E464" s="21"/>
      <c r="F464" s="7"/>
      <c r="G464" s="2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22"/>
      <c r="B465" s="7"/>
      <c r="C465" s="7"/>
      <c r="D465" s="7"/>
      <c r="E465" s="21"/>
      <c r="F465" s="7"/>
      <c r="G465" s="2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22"/>
      <c r="B466" s="7"/>
      <c r="C466" s="7"/>
      <c r="D466" s="7"/>
      <c r="E466" s="21"/>
      <c r="F466" s="7"/>
      <c r="G466" s="2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22"/>
      <c r="B467" s="7"/>
      <c r="C467" s="7"/>
      <c r="D467" s="7"/>
      <c r="E467" s="21"/>
      <c r="F467" s="7"/>
      <c r="G467" s="2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22"/>
      <c r="B468" s="7"/>
      <c r="C468" s="7"/>
      <c r="D468" s="7"/>
      <c r="E468" s="21"/>
      <c r="F468" s="7"/>
      <c r="G468" s="2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22"/>
      <c r="B469" s="7"/>
      <c r="C469" s="7"/>
      <c r="D469" s="7"/>
      <c r="E469" s="21"/>
      <c r="F469" s="7"/>
      <c r="G469" s="2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22"/>
      <c r="B470" s="7"/>
      <c r="C470" s="7"/>
      <c r="D470" s="7"/>
      <c r="E470" s="21"/>
      <c r="F470" s="7"/>
      <c r="G470" s="2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22"/>
      <c r="B471" s="7"/>
      <c r="C471" s="7"/>
      <c r="D471" s="7"/>
      <c r="E471" s="21"/>
      <c r="F471" s="7"/>
      <c r="G471" s="2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22"/>
      <c r="B472" s="7"/>
      <c r="C472" s="7"/>
      <c r="D472" s="7"/>
      <c r="E472" s="21"/>
      <c r="F472" s="7"/>
      <c r="G472" s="2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22"/>
      <c r="B473" s="7"/>
      <c r="C473" s="7"/>
      <c r="D473" s="7"/>
      <c r="E473" s="21"/>
      <c r="F473" s="7"/>
      <c r="G473" s="2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22"/>
      <c r="B474" s="7"/>
      <c r="C474" s="7"/>
      <c r="D474" s="7"/>
      <c r="E474" s="21"/>
      <c r="F474" s="7"/>
      <c r="G474" s="2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22"/>
      <c r="B475" s="7"/>
      <c r="C475" s="7"/>
      <c r="D475" s="7"/>
      <c r="E475" s="21"/>
      <c r="F475" s="7"/>
      <c r="G475" s="2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22"/>
      <c r="B476" s="7"/>
      <c r="C476" s="7"/>
      <c r="D476" s="7"/>
      <c r="E476" s="21"/>
      <c r="F476" s="7"/>
      <c r="G476" s="2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22"/>
      <c r="B477" s="7"/>
      <c r="C477" s="7"/>
      <c r="D477" s="7"/>
      <c r="E477" s="21"/>
      <c r="F477" s="7"/>
      <c r="G477" s="2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22"/>
      <c r="B478" s="7"/>
      <c r="C478" s="7"/>
      <c r="D478" s="7"/>
      <c r="E478" s="21"/>
      <c r="F478" s="7"/>
      <c r="G478" s="2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22"/>
      <c r="B479" s="7"/>
      <c r="C479" s="7"/>
      <c r="D479" s="7"/>
      <c r="E479" s="21"/>
      <c r="F479" s="7"/>
      <c r="G479" s="2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22"/>
      <c r="B480" s="7"/>
      <c r="C480" s="7"/>
      <c r="D480" s="7"/>
      <c r="E480" s="21"/>
      <c r="F480" s="7"/>
      <c r="G480" s="2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22"/>
      <c r="B481" s="7"/>
      <c r="C481" s="7"/>
      <c r="D481" s="7"/>
      <c r="E481" s="21"/>
      <c r="F481" s="7"/>
      <c r="G481" s="2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22"/>
      <c r="B482" s="7"/>
      <c r="C482" s="7"/>
      <c r="D482" s="7"/>
      <c r="E482" s="21"/>
      <c r="F482" s="7"/>
      <c r="G482" s="2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22"/>
      <c r="B483" s="7"/>
      <c r="C483" s="7"/>
      <c r="D483" s="7"/>
      <c r="E483" s="21"/>
      <c r="F483" s="7"/>
      <c r="G483" s="2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22"/>
      <c r="B484" s="7"/>
      <c r="C484" s="7"/>
      <c r="D484" s="7"/>
      <c r="E484" s="21"/>
      <c r="F484" s="7"/>
      <c r="G484" s="2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22"/>
      <c r="B485" s="7"/>
      <c r="C485" s="7"/>
      <c r="D485" s="7"/>
      <c r="E485" s="21"/>
      <c r="F485" s="7"/>
      <c r="G485" s="2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22"/>
      <c r="B486" s="7"/>
      <c r="C486" s="7"/>
      <c r="D486" s="7"/>
      <c r="E486" s="21"/>
      <c r="F486" s="7"/>
      <c r="G486" s="2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22"/>
      <c r="B487" s="7"/>
      <c r="C487" s="7"/>
      <c r="D487" s="7"/>
      <c r="E487" s="21"/>
      <c r="F487" s="7"/>
      <c r="G487" s="2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22"/>
      <c r="B488" s="7"/>
      <c r="C488" s="7"/>
      <c r="D488" s="7"/>
      <c r="E488" s="21"/>
      <c r="F488" s="7"/>
      <c r="G488" s="2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22"/>
      <c r="B489" s="7"/>
      <c r="C489" s="7"/>
      <c r="D489" s="7"/>
      <c r="E489" s="21"/>
      <c r="F489" s="7"/>
      <c r="G489" s="2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22"/>
      <c r="B490" s="7"/>
      <c r="C490" s="7"/>
      <c r="D490" s="7"/>
      <c r="E490" s="21"/>
      <c r="F490" s="7"/>
      <c r="G490" s="2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22"/>
      <c r="B491" s="7"/>
      <c r="C491" s="7"/>
      <c r="D491" s="7"/>
      <c r="E491" s="21"/>
      <c r="F491" s="7"/>
      <c r="G491" s="2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22"/>
      <c r="B492" s="7"/>
      <c r="C492" s="7"/>
      <c r="D492" s="7"/>
      <c r="E492" s="21"/>
      <c r="F492" s="7"/>
      <c r="G492" s="2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22"/>
      <c r="B493" s="7"/>
      <c r="C493" s="7"/>
      <c r="D493" s="7"/>
      <c r="E493" s="21"/>
      <c r="F493" s="7"/>
      <c r="G493" s="2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22"/>
      <c r="B494" s="7"/>
      <c r="C494" s="7"/>
      <c r="D494" s="7"/>
      <c r="E494" s="21"/>
      <c r="F494" s="7"/>
      <c r="G494" s="2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22"/>
      <c r="B495" s="7"/>
      <c r="C495" s="7"/>
      <c r="D495" s="7"/>
      <c r="E495" s="21"/>
      <c r="F495" s="7"/>
      <c r="G495" s="2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22"/>
      <c r="B496" s="7"/>
      <c r="C496" s="7"/>
      <c r="D496" s="7"/>
      <c r="E496" s="21"/>
      <c r="F496" s="7"/>
      <c r="G496" s="2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22"/>
      <c r="B497" s="7"/>
      <c r="C497" s="7"/>
      <c r="D497" s="7"/>
      <c r="E497" s="21"/>
      <c r="F497" s="7"/>
      <c r="G497" s="2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22"/>
      <c r="B498" s="7"/>
      <c r="C498" s="7"/>
      <c r="D498" s="7"/>
      <c r="E498" s="21"/>
      <c r="F498" s="7"/>
      <c r="G498" s="2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22"/>
      <c r="B499" s="7"/>
      <c r="C499" s="7"/>
      <c r="D499" s="7"/>
      <c r="E499" s="21"/>
      <c r="F499" s="7"/>
      <c r="G499" s="2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22"/>
      <c r="B500" s="7"/>
      <c r="C500" s="7"/>
      <c r="D500" s="7"/>
      <c r="E500" s="21"/>
      <c r="F500" s="7"/>
      <c r="G500" s="2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22"/>
      <c r="B501" s="7"/>
      <c r="C501" s="7"/>
      <c r="D501" s="7"/>
      <c r="E501" s="21"/>
      <c r="F501" s="7"/>
      <c r="G501" s="2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22"/>
      <c r="B502" s="7"/>
      <c r="C502" s="7"/>
      <c r="D502" s="7"/>
      <c r="E502" s="21"/>
      <c r="F502" s="7"/>
      <c r="G502" s="2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22"/>
      <c r="B503" s="7"/>
      <c r="C503" s="7"/>
      <c r="D503" s="7"/>
      <c r="E503" s="21"/>
      <c r="F503" s="7"/>
      <c r="G503" s="2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22"/>
      <c r="B504" s="7"/>
      <c r="C504" s="7"/>
      <c r="D504" s="7"/>
      <c r="E504" s="21"/>
      <c r="F504" s="7"/>
      <c r="G504" s="2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22"/>
      <c r="B505" s="7"/>
      <c r="C505" s="7"/>
      <c r="D505" s="7"/>
      <c r="E505" s="21"/>
      <c r="F505" s="7"/>
      <c r="G505" s="2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22"/>
      <c r="B506" s="7"/>
      <c r="C506" s="7"/>
      <c r="D506" s="7"/>
      <c r="E506" s="21"/>
      <c r="F506" s="7"/>
      <c r="G506" s="2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22"/>
      <c r="B507" s="7"/>
      <c r="C507" s="7"/>
      <c r="D507" s="7"/>
      <c r="E507" s="21"/>
      <c r="F507" s="7"/>
      <c r="G507" s="2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22"/>
      <c r="B508" s="7"/>
      <c r="C508" s="7"/>
      <c r="D508" s="7"/>
      <c r="E508" s="21"/>
      <c r="F508" s="7"/>
      <c r="G508" s="2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22"/>
      <c r="B509" s="7"/>
      <c r="C509" s="7"/>
      <c r="D509" s="7"/>
      <c r="E509" s="21"/>
      <c r="F509" s="7"/>
      <c r="G509" s="2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22"/>
      <c r="B510" s="7"/>
      <c r="C510" s="7"/>
      <c r="D510" s="7"/>
      <c r="E510" s="21"/>
      <c r="F510" s="7"/>
      <c r="G510" s="2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22"/>
      <c r="B511" s="7"/>
      <c r="C511" s="7"/>
      <c r="D511" s="7"/>
      <c r="E511" s="21"/>
      <c r="F511" s="7"/>
      <c r="G511" s="2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22"/>
      <c r="B512" s="7"/>
      <c r="C512" s="7"/>
      <c r="D512" s="7"/>
      <c r="E512" s="21"/>
      <c r="F512" s="7"/>
      <c r="G512" s="2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22"/>
      <c r="B513" s="7"/>
      <c r="C513" s="7"/>
      <c r="D513" s="7"/>
      <c r="E513" s="21"/>
      <c r="F513" s="7"/>
      <c r="G513" s="2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22"/>
      <c r="B514" s="7"/>
      <c r="C514" s="7"/>
      <c r="D514" s="7"/>
      <c r="E514" s="21"/>
      <c r="F514" s="7"/>
      <c r="G514" s="2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22"/>
      <c r="B515" s="7"/>
      <c r="C515" s="7"/>
      <c r="D515" s="7"/>
      <c r="E515" s="21"/>
      <c r="F515" s="7"/>
      <c r="G515" s="2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22"/>
      <c r="B516" s="7"/>
      <c r="C516" s="7"/>
      <c r="D516" s="7"/>
      <c r="E516" s="21"/>
      <c r="F516" s="7"/>
      <c r="G516" s="2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22"/>
      <c r="B517" s="7"/>
      <c r="C517" s="7"/>
      <c r="D517" s="7"/>
      <c r="E517" s="21"/>
      <c r="F517" s="7"/>
      <c r="G517" s="2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22"/>
      <c r="B518" s="7"/>
      <c r="C518" s="7"/>
      <c r="D518" s="7"/>
      <c r="E518" s="21"/>
      <c r="F518" s="7"/>
      <c r="G518" s="2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22"/>
      <c r="B519" s="7"/>
      <c r="C519" s="7"/>
      <c r="D519" s="7"/>
      <c r="E519" s="21"/>
      <c r="F519" s="7"/>
      <c r="G519" s="2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22"/>
      <c r="B520" s="7"/>
      <c r="C520" s="7"/>
      <c r="D520" s="7"/>
      <c r="E520" s="21"/>
      <c r="F520" s="7"/>
      <c r="G520" s="2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22"/>
      <c r="B521" s="7"/>
      <c r="C521" s="7"/>
      <c r="D521" s="7"/>
      <c r="E521" s="21"/>
      <c r="F521" s="7"/>
      <c r="G521" s="2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22"/>
      <c r="B522" s="7"/>
      <c r="C522" s="7"/>
      <c r="D522" s="7"/>
      <c r="E522" s="21"/>
      <c r="F522" s="7"/>
      <c r="G522" s="2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22"/>
      <c r="B523" s="7"/>
      <c r="C523" s="7"/>
      <c r="D523" s="7"/>
      <c r="E523" s="21"/>
      <c r="F523" s="7"/>
      <c r="G523" s="2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22"/>
      <c r="B524" s="7"/>
      <c r="C524" s="7"/>
      <c r="D524" s="7"/>
      <c r="E524" s="21"/>
      <c r="F524" s="7"/>
      <c r="G524" s="2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22"/>
      <c r="B525" s="7"/>
      <c r="C525" s="7"/>
      <c r="D525" s="7"/>
      <c r="E525" s="21"/>
      <c r="F525" s="7"/>
      <c r="G525" s="2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22"/>
      <c r="B526" s="7"/>
      <c r="C526" s="7"/>
      <c r="D526" s="7"/>
      <c r="E526" s="21"/>
      <c r="F526" s="7"/>
      <c r="G526" s="2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22"/>
      <c r="B527" s="7"/>
      <c r="C527" s="7"/>
      <c r="D527" s="7"/>
      <c r="E527" s="21"/>
      <c r="F527" s="7"/>
      <c r="G527" s="2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22"/>
      <c r="B528" s="7"/>
      <c r="C528" s="7"/>
      <c r="D528" s="7"/>
      <c r="E528" s="21"/>
      <c r="F528" s="7"/>
      <c r="G528" s="2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22"/>
      <c r="B529" s="7"/>
      <c r="C529" s="7"/>
      <c r="D529" s="7"/>
      <c r="E529" s="21"/>
      <c r="F529" s="7"/>
      <c r="G529" s="2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22"/>
      <c r="B530" s="7"/>
      <c r="C530" s="7"/>
      <c r="D530" s="7"/>
      <c r="E530" s="21"/>
      <c r="F530" s="7"/>
      <c r="G530" s="2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22"/>
      <c r="B531" s="7"/>
      <c r="C531" s="7"/>
      <c r="D531" s="7"/>
      <c r="E531" s="21"/>
      <c r="F531" s="7"/>
      <c r="G531" s="2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22"/>
      <c r="B532" s="7"/>
      <c r="C532" s="7"/>
      <c r="D532" s="7"/>
      <c r="E532" s="21"/>
      <c r="F532" s="7"/>
      <c r="G532" s="2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22"/>
      <c r="B533" s="7"/>
      <c r="C533" s="7"/>
      <c r="D533" s="7"/>
      <c r="E533" s="21"/>
      <c r="F533" s="7"/>
      <c r="G533" s="2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22"/>
      <c r="B534" s="7"/>
      <c r="C534" s="7"/>
      <c r="D534" s="7"/>
      <c r="E534" s="21"/>
      <c r="F534" s="7"/>
      <c r="G534" s="2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22"/>
      <c r="B535" s="7"/>
      <c r="C535" s="7"/>
      <c r="D535" s="7"/>
      <c r="E535" s="21"/>
      <c r="F535" s="7"/>
      <c r="G535" s="2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22"/>
      <c r="B536" s="7"/>
      <c r="C536" s="7"/>
      <c r="D536" s="7"/>
      <c r="E536" s="21"/>
      <c r="F536" s="7"/>
      <c r="G536" s="2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22"/>
      <c r="B537" s="7"/>
      <c r="C537" s="7"/>
      <c r="D537" s="7"/>
      <c r="E537" s="21"/>
      <c r="F537" s="7"/>
      <c r="G537" s="2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22"/>
      <c r="B538" s="7"/>
      <c r="C538" s="7"/>
      <c r="D538" s="7"/>
      <c r="E538" s="21"/>
      <c r="F538" s="7"/>
      <c r="G538" s="2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22"/>
      <c r="B539" s="7"/>
      <c r="C539" s="7"/>
      <c r="D539" s="7"/>
      <c r="E539" s="21"/>
      <c r="F539" s="7"/>
      <c r="G539" s="2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22"/>
      <c r="B540" s="7"/>
      <c r="C540" s="7"/>
      <c r="D540" s="7"/>
      <c r="E540" s="21"/>
      <c r="F540" s="7"/>
      <c r="G540" s="2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22"/>
      <c r="B541" s="7"/>
      <c r="C541" s="7"/>
      <c r="D541" s="7"/>
      <c r="E541" s="21"/>
      <c r="F541" s="7"/>
      <c r="G541" s="2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22"/>
      <c r="B542" s="7"/>
      <c r="C542" s="7"/>
      <c r="D542" s="7"/>
      <c r="E542" s="21"/>
      <c r="F542" s="7"/>
      <c r="G542" s="2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22"/>
      <c r="B543" s="7"/>
      <c r="C543" s="7"/>
      <c r="D543" s="7"/>
      <c r="E543" s="21"/>
      <c r="F543" s="7"/>
      <c r="G543" s="2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22"/>
      <c r="B544" s="7"/>
      <c r="C544" s="7"/>
      <c r="D544" s="7"/>
      <c r="E544" s="21"/>
      <c r="F544" s="7"/>
      <c r="G544" s="2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22"/>
      <c r="B545" s="7"/>
      <c r="C545" s="7"/>
      <c r="D545" s="7"/>
      <c r="E545" s="21"/>
      <c r="F545" s="7"/>
      <c r="G545" s="2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22"/>
      <c r="B546" s="7"/>
      <c r="C546" s="7"/>
      <c r="D546" s="7"/>
      <c r="E546" s="21"/>
      <c r="F546" s="7"/>
      <c r="G546" s="2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22"/>
      <c r="B547" s="7"/>
      <c r="C547" s="7"/>
      <c r="D547" s="7"/>
      <c r="E547" s="21"/>
      <c r="F547" s="7"/>
      <c r="G547" s="2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22"/>
      <c r="B548" s="7"/>
      <c r="C548" s="7"/>
      <c r="D548" s="7"/>
      <c r="E548" s="21"/>
      <c r="F548" s="7"/>
      <c r="G548" s="2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22"/>
      <c r="B549" s="7"/>
      <c r="C549" s="7"/>
      <c r="D549" s="7"/>
      <c r="E549" s="21"/>
      <c r="F549" s="7"/>
      <c r="G549" s="2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22"/>
      <c r="B550" s="7"/>
      <c r="C550" s="7"/>
      <c r="D550" s="7"/>
      <c r="E550" s="21"/>
      <c r="F550" s="7"/>
      <c r="G550" s="2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22"/>
      <c r="B551" s="7"/>
      <c r="C551" s="7"/>
      <c r="D551" s="7"/>
      <c r="E551" s="21"/>
      <c r="F551" s="7"/>
      <c r="G551" s="2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22"/>
      <c r="B552" s="7"/>
      <c r="C552" s="7"/>
      <c r="D552" s="7"/>
      <c r="E552" s="21"/>
      <c r="F552" s="7"/>
      <c r="G552" s="2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22"/>
      <c r="B553" s="7"/>
      <c r="C553" s="7"/>
      <c r="D553" s="7"/>
      <c r="E553" s="21"/>
      <c r="F553" s="7"/>
      <c r="G553" s="2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22"/>
      <c r="B554" s="7"/>
      <c r="C554" s="7"/>
      <c r="D554" s="7"/>
      <c r="E554" s="21"/>
      <c r="F554" s="7"/>
      <c r="G554" s="2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22"/>
      <c r="B555" s="7"/>
      <c r="C555" s="7"/>
      <c r="D555" s="7"/>
      <c r="E555" s="21"/>
      <c r="F555" s="7"/>
      <c r="G555" s="2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22"/>
      <c r="B556" s="7"/>
      <c r="C556" s="7"/>
      <c r="D556" s="7"/>
      <c r="E556" s="21"/>
      <c r="F556" s="7"/>
      <c r="G556" s="2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22"/>
      <c r="B557" s="7"/>
      <c r="C557" s="7"/>
      <c r="D557" s="7"/>
      <c r="E557" s="21"/>
      <c r="F557" s="7"/>
      <c r="G557" s="2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22"/>
      <c r="B558" s="7"/>
      <c r="C558" s="7"/>
      <c r="D558" s="7"/>
      <c r="E558" s="21"/>
      <c r="F558" s="7"/>
      <c r="G558" s="2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22"/>
      <c r="B559" s="7"/>
      <c r="C559" s="7"/>
      <c r="D559" s="7"/>
      <c r="E559" s="21"/>
      <c r="F559" s="7"/>
      <c r="G559" s="2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22"/>
      <c r="B560" s="7"/>
      <c r="C560" s="7"/>
      <c r="D560" s="7"/>
      <c r="E560" s="21"/>
      <c r="F560" s="7"/>
      <c r="G560" s="2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22"/>
      <c r="B561" s="7"/>
      <c r="C561" s="7"/>
      <c r="D561" s="7"/>
      <c r="E561" s="21"/>
      <c r="F561" s="7"/>
      <c r="G561" s="2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22"/>
      <c r="B562" s="7"/>
      <c r="C562" s="7"/>
      <c r="D562" s="7"/>
      <c r="E562" s="21"/>
      <c r="F562" s="7"/>
      <c r="G562" s="2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22"/>
      <c r="B563" s="7"/>
      <c r="C563" s="7"/>
      <c r="D563" s="7"/>
      <c r="E563" s="21"/>
      <c r="F563" s="7"/>
      <c r="G563" s="2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22"/>
      <c r="B564" s="7"/>
      <c r="C564" s="7"/>
      <c r="D564" s="7"/>
      <c r="E564" s="21"/>
      <c r="F564" s="7"/>
      <c r="G564" s="2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22"/>
      <c r="B565" s="7"/>
      <c r="C565" s="7"/>
      <c r="D565" s="7"/>
      <c r="E565" s="21"/>
      <c r="F565" s="7"/>
      <c r="G565" s="2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22"/>
      <c r="B566" s="7"/>
      <c r="C566" s="7"/>
      <c r="D566" s="7"/>
      <c r="E566" s="21"/>
      <c r="F566" s="7"/>
      <c r="G566" s="2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22"/>
      <c r="B567" s="7"/>
      <c r="C567" s="7"/>
      <c r="D567" s="7"/>
      <c r="E567" s="21"/>
      <c r="F567" s="7"/>
      <c r="G567" s="2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22"/>
      <c r="B568" s="7"/>
      <c r="C568" s="7"/>
      <c r="D568" s="7"/>
      <c r="E568" s="21"/>
      <c r="F568" s="7"/>
      <c r="G568" s="2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22"/>
      <c r="B569" s="7"/>
      <c r="C569" s="7"/>
      <c r="D569" s="7"/>
      <c r="E569" s="21"/>
      <c r="F569" s="7"/>
      <c r="G569" s="2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22"/>
      <c r="B570" s="7"/>
      <c r="C570" s="7"/>
      <c r="D570" s="7"/>
      <c r="E570" s="21"/>
      <c r="F570" s="7"/>
      <c r="G570" s="2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22"/>
      <c r="B571" s="7"/>
      <c r="C571" s="7"/>
      <c r="D571" s="7"/>
      <c r="E571" s="21"/>
      <c r="F571" s="7"/>
      <c r="G571" s="2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22"/>
      <c r="B572" s="7"/>
      <c r="C572" s="7"/>
      <c r="D572" s="7"/>
      <c r="E572" s="21"/>
      <c r="F572" s="7"/>
      <c r="G572" s="2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22"/>
      <c r="B573" s="7"/>
      <c r="C573" s="7"/>
      <c r="D573" s="7"/>
      <c r="E573" s="21"/>
      <c r="F573" s="7"/>
      <c r="G573" s="2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22"/>
      <c r="B574" s="7"/>
      <c r="C574" s="7"/>
      <c r="D574" s="7"/>
      <c r="E574" s="21"/>
      <c r="F574" s="7"/>
      <c r="G574" s="2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22"/>
      <c r="B575" s="7"/>
      <c r="C575" s="7"/>
      <c r="D575" s="7"/>
      <c r="E575" s="21"/>
      <c r="F575" s="7"/>
      <c r="G575" s="2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22"/>
      <c r="B576" s="7"/>
      <c r="C576" s="7"/>
      <c r="D576" s="7"/>
      <c r="E576" s="21"/>
      <c r="F576" s="7"/>
      <c r="G576" s="2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22"/>
      <c r="B577" s="7"/>
      <c r="C577" s="7"/>
      <c r="D577" s="7"/>
      <c r="E577" s="21"/>
      <c r="F577" s="7"/>
      <c r="G577" s="2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22"/>
      <c r="B578" s="7"/>
      <c r="C578" s="7"/>
      <c r="D578" s="7"/>
      <c r="E578" s="21"/>
      <c r="F578" s="7"/>
      <c r="G578" s="2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22"/>
      <c r="B579" s="7"/>
      <c r="C579" s="7"/>
      <c r="D579" s="7"/>
      <c r="E579" s="21"/>
      <c r="F579" s="7"/>
      <c r="G579" s="2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22"/>
      <c r="B580" s="7"/>
      <c r="C580" s="7"/>
      <c r="D580" s="7"/>
      <c r="E580" s="21"/>
      <c r="F580" s="7"/>
      <c r="G580" s="2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22"/>
      <c r="B581" s="7"/>
      <c r="C581" s="7"/>
      <c r="D581" s="7"/>
      <c r="E581" s="21"/>
      <c r="F581" s="7"/>
      <c r="G581" s="2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22"/>
      <c r="B582" s="7"/>
      <c r="C582" s="7"/>
      <c r="D582" s="7"/>
      <c r="E582" s="21"/>
      <c r="F582" s="7"/>
      <c r="G582" s="2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22"/>
      <c r="B583" s="7"/>
      <c r="C583" s="7"/>
      <c r="D583" s="7"/>
      <c r="E583" s="21"/>
      <c r="F583" s="7"/>
      <c r="G583" s="2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22"/>
      <c r="B584" s="7"/>
      <c r="C584" s="7"/>
      <c r="D584" s="7"/>
      <c r="E584" s="21"/>
      <c r="F584" s="7"/>
      <c r="G584" s="2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22"/>
      <c r="B585" s="7"/>
      <c r="C585" s="7"/>
      <c r="D585" s="7"/>
      <c r="E585" s="21"/>
      <c r="F585" s="7"/>
      <c r="G585" s="2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22"/>
      <c r="B586" s="7"/>
      <c r="C586" s="7"/>
      <c r="D586" s="7"/>
      <c r="E586" s="21"/>
      <c r="F586" s="7"/>
      <c r="G586" s="2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22"/>
      <c r="B587" s="7"/>
      <c r="C587" s="7"/>
      <c r="D587" s="7"/>
      <c r="E587" s="21"/>
      <c r="F587" s="7"/>
      <c r="G587" s="2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22"/>
      <c r="B588" s="7"/>
      <c r="C588" s="7"/>
      <c r="D588" s="7"/>
      <c r="E588" s="21"/>
      <c r="F588" s="7"/>
      <c r="G588" s="2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22"/>
      <c r="B589" s="7"/>
      <c r="C589" s="7"/>
      <c r="D589" s="7"/>
      <c r="E589" s="21"/>
      <c r="F589" s="7"/>
      <c r="G589" s="2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22"/>
      <c r="B590" s="7"/>
      <c r="C590" s="7"/>
      <c r="D590" s="7"/>
      <c r="E590" s="21"/>
      <c r="F590" s="7"/>
      <c r="G590" s="2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22"/>
      <c r="B591" s="7"/>
      <c r="C591" s="7"/>
      <c r="D591" s="7"/>
      <c r="E591" s="21"/>
      <c r="F591" s="7"/>
      <c r="G591" s="2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22"/>
      <c r="B592" s="7"/>
      <c r="C592" s="7"/>
      <c r="D592" s="7"/>
      <c r="E592" s="21"/>
      <c r="F592" s="7"/>
      <c r="G592" s="2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22"/>
      <c r="B593" s="7"/>
      <c r="C593" s="7"/>
      <c r="D593" s="7"/>
      <c r="E593" s="21"/>
      <c r="F593" s="7"/>
      <c r="G593" s="2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22"/>
      <c r="B594" s="7"/>
      <c r="C594" s="7"/>
      <c r="D594" s="7"/>
      <c r="E594" s="21"/>
      <c r="F594" s="7"/>
      <c r="G594" s="2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22"/>
      <c r="B595" s="7"/>
      <c r="C595" s="7"/>
      <c r="D595" s="7"/>
      <c r="E595" s="21"/>
      <c r="F595" s="7"/>
      <c r="G595" s="2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22"/>
      <c r="B596" s="7"/>
      <c r="C596" s="7"/>
      <c r="D596" s="7"/>
      <c r="E596" s="21"/>
      <c r="F596" s="7"/>
      <c r="G596" s="2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22"/>
      <c r="B597" s="7"/>
      <c r="C597" s="7"/>
      <c r="D597" s="7"/>
      <c r="E597" s="21"/>
      <c r="F597" s="7"/>
      <c r="G597" s="2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22"/>
      <c r="B598" s="7"/>
      <c r="C598" s="7"/>
      <c r="D598" s="7"/>
      <c r="E598" s="21"/>
      <c r="F598" s="7"/>
      <c r="G598" s="2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22"/>
      <c r="B599" s="7"/>
      <c r="C599" s="7"/>
      <c r="D599" s="7"/>
      <c r="E599" s="21"/>
      <c r="F599" s="7"/>
      <c r="G599" s="2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22"/>
      <c r="B600" s="7"/>
      <c r="C600" s="7"/>
      <c r="D600" s="7"/>
      <c r="E600" s="21"/>
      <c r="F600" s="7"/>
      <c r="G600" s="2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22"/>
      <c r="B601" s="7"/>
      <c r="C601" s="7"/>
      <c r="D601" s="7"/>
      <c r="E601" s="21"/>
      <c r="F601" s="7"/>
      <c r="G601" s="2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22"/>
      <c r="B602" s="7"/>
      <c r="C602" s="7"/>
      <c r="D602" s="7"/>
      <c r="E602" s="21"/>
      <c r="F602" s="7"/>
      <c r="G602" s="2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22"/>
      <c r="B603" s="7"/>
      <c r="C603" s="7"/>
      <c r="D603" s="7"/>
      <c r="E603" s="21"/>
      <c r="F603" s="7"/>
      <c r="G603" s="2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22"/>
      <c r="B604" s="7"/>
      <c r="C604" s="7"/>
      <c r="D604" s="7"/>
      <c r="E604" s="21"/>
      <c r="F604" s="7"/>
      <c r="G604" s="2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22"/>
      <c r="B605" s="7"/>
      <c r="C605" s="7"/>
      <c r="D605" s="7"/>
      <c r="E605" s="21"/>
      <c r="F605" s="7"/>
      <c r="G605" s="2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22"/>
      <c r="B606" s="7"/>
      <c r="C606" s="7"/>
      <c r="D606" s="7"/>
      <c r="E606" s="21"/>
      <c r="F606" s="7"/>
      <c r="G606" s="2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22"/>
      <c r="B607" s="7"/>
      <c r="C607" s="7"/>
      <c r="D607" s="7"/>
      <c r="E607" s="21"/>
      <c r="F607" s="7"/>
      <c r="G607" s="2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22"/>
      <c r="B608" s="7"/>
      <c r="C608" s="7"/>
      <c r="D608" s="7"/>
      <c r="E608" s="21"/>
      <c r="F608" s="7"/>
      <c r="G608" s="2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22"/>
      <c r="B609" s="7"/>
      <c r="C609" s="7"/>
      <c r="D609" s="7"/>
      <c r="E609" s="21"/>
      <c r="F609" s="7"/>
      <c r="G609" s="2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22"/>
      <c r="B610" s="7"/>
      <c r="C610" s="7"/>
      <c r="D610" s="7"/>
      <c r="E610" s="21"/>
      <c r="F610" s="7"/>
      <c r="G610" s="2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22"/>
      <c r="B611" s="7"/>
      <c r="C611" s="7"/>
      <c r="D611" s="7"/>
      <c r="E611" s="21"/>
      <c r="F611" s="7"/>
      <c r="G611" s="2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22"/>
      <c r="B612" s="7"/>
      <c r="C612" s="7"/>
      <c r="D612" s="7"/>
      <c r="E612" s="21"/>
      <c r="F612" s="7"/>
      <c r="G612" s="2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22"/>
      <c r="B613" s="7"/>
      <c r="C613" s="7"/>
      <c r="D613" s="7"/>
      <c r="E613" s="21"/>
      <c r="F613" s="7"/>
      <c r="G613" s="2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22"/>
      <c r="B614" s="7"/>
      <c r="C614" s="7"/>
      <c r="D614" s="7"/>
      <c r="E614" s="21"/>
      <c r="F614" s="7"/>
      <c r="G614" s="2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22"/>
      <c r="B615" s="7"/>
      <c r="C615" s="7"/>
      <c r="D615" s="7"/>
      <c r="E615" s="21"/>
      <c r="F615" s="7"/>
      <c r="G615" s="2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22"/>
      <c r="B616" s="7"/>
      <c r="C616" s="7"/>
      <c r="D616" s="7"/>
      <c r="E616" s="21"/>
      <c r="F616" s="7"/>
      <c r="G616" s="2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22"/>
      <c r="B617" s="7"/>
      <c r="C617" s="7"/>
      <c r="D617" s="7"/>
      <c r="E617" s="21"/>
      <c r="F617" s="7"/>
      <c r="G617" s="2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22"/>
      <c r="B618" s="7"/>
      <c r="C618" s="7"/>
      <c r="D618" s="7"/>
      <c r="E618" s="21"/>
      <c r="F618" s="7"/>
      <c r="G618" s="2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22"/>
      <c r="B619" s="7"/>
      <c r="C619" s="7"/>
      <c r="D619" s="7"/>
      <c r="E619" s="21"/>
      <c r="F619" s="7"/>
      <c r="G619" s="2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22"/>
      <c r="B620" s="7"/>
      <c r="C620" s="7"/>
      <c r="D620" s="7"/>
      <c r="E620" s="21"/>
      <c r="F620" s="7"/>
      <c r="G620" s="2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22"/>
      <c r="B621" s="7"/>
      <c r="C621" s="7"/>
      <c r="D621" s="7"/>
      <c r="E621" s="21"/>
      <c r="F621" s="7"/>
      <c r="G621" s="2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22"/>
      <c r="B622" s="7"/>
      <c r="C622" s="7"/>
      <c r="D622" s="7"/>
      <c r="E622" s="21"/>
      <c r="F622" s="7"/>
      <c r="G622" s="2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22"/>
      <c r="B623" s="7"/>
      <c r="C623" s="7"/>
      <c r="D623" s="7"/>
      <c r="E623" s="21"/>
      <c r="F623" s="7"/>
      <c r="G623" s="2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22"/>
      <c r="B624" s="7"/>
      <c r="C624" s="7"/>
      <c r="D624" s="7"/>
      <c r="E624" s="21"/>
      <c r="F624" s="7"/>
      <c r="G624" s="2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22"/>
      <c r="B625" s="7"/>
      <c r="C625" s="7"/>
      <c r="D625" s="7"/>
      <c r="E625" s="21"/>
      <c r="F625" s="7"/>
      <c r="G625" s="2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22"/>
      <c r="B626" s="7"/>
      <c r="C626" s="7"/>
      <c r="D626" s="7"/>
      <c r="E626" s="21"/>
      <c r="F626" s="7"/>
      <c r="G626" s="2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22"/>
      <c r="B627" s="7"/>
      <c r="C627" s="7"/>
      <c r="D627" s="7"/>
      <c r="E627" s="21"/>
      <c r="F627" s="7"/>
      <c r="G627" s="2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22"/>
      <c r="B628" s="7"/>
      <c r="C628" s="7"/>
      <c r="D628" s="7"/>
      <c r="E628" s="21"/>
      <c r="F628" s="7"/>
      <c r="G628" s="2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22"/>
      <c r="B629" s="7"/>
      <c r="C629" s="7"/>
      <c r="D629" s="7"/>
      <c r="E629" s="21"/>
      <c r="F629" s="7"/>
      <c r="G629" s="2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22"/>
      <c r="B630" s="7"/>
      <c r="C630" s="7"/>
      <c r="D630" s="7"/>
      <c r="E630" s="21"/>
      <c r="F630" s="7"/>
      <c r="G630" s="2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22"/>
      <c r="B631" s="7"/>
      <c r="C631" s="7"/>
      <c r="D631" s="7"/>
      <c r="E631" s="21"/>
      <c r="F631" s="7"/>
      <c r="G631" s="2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22"/>
      <c r="B632" s="7"/>
      <c r="C632" s="7"/>
      <c r="D632" s="7"/>
      <c r="E632" s="21"/>
      <c r="F632" s="7"/>
      <c r="G632" s="2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22"/>
      <c r="B633" s="7"/>
      <c r="C633" s="7"/>
      <c r="D633" s="7"/>
      <c r="E633" s="21"/>
      <c r="F633" s="7"/>
      <c r="G633" s="2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22"/>
      <c r="B634" s="7"/>
      <c r="C634" s="7"/>
      <c r="D634" s="7"/>
      <c r="E634" s="21"/>
      <c r="F634" s="7"/>
      <c r="G634" s="2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22"/>
      <c r="B635" s="7"/>
      <c r="C635" s="7"/>
      <c r="D635" s="7"/>
      <c r="E635" s="21"/>
      <c r="F635" s="7"/>
      <c r="G635" s="2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22"/>
      <c r="B636" s="7"/>
      <c r="C636" s="7"/>
      <c r="D636" s="7"/>
      <c r="E636" s="21"/>
      <c r="F636" s="7"/>
      <c r="G636" s="2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22"/>
      <c r="B637" s="7"/>
      <c r="C637" s="7"/>
      <c r="D637" s="7"/>
      <c r="E637" s="21"/>
      <c r="F637" s="7"/>
      <c r="G637" s="2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22"/>
      <c r="B638" s="7"/>
      <c r="C638" s="7"/>
      <c r="D638" s="7"/>
      <c r="E638" s="21"/>
      <c r="F638" s="7"/>
      <c r="G638" s="2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22"/>
      <c r="B639" s="7"/>
      <c r="C639" s="7"/>
      <c r="D639" s="7"/>
      <c r="E639" s="21"/>
      <c r="F639" s="7"/>
      <c r="G639" s="2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22"/>
      <c r="B640" s="7"/>
      <c r="C640" s="7"/>
      <c r="D640" s="7"/>
      <c r="E640" s="21"/>
      <c r="F640" s="7"/>
      <c r="G640" s="2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22"/>
      <c r="B641" s="7"/>
      <c r="C641" s="7"/>
      <c r="D641" s="7"/>
      <c r="E641" s="21"/>
      <c r="F641" s="7"/>
      <c r="G641" s="2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22"/>
      <c r="B642" s="7"/>
      <c r="C642" s="7"/>
      <c r="D642" s="7"/>
      <c r="E642" s="21"/>
      <c r="F642" s="7"/>
      <c r="G642" s="2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22"/>
      <c r="B643" s="7"/>
      <c r="C643" s="7"/>
      <c r="D643" s="7"/>
      <c r="E643" s="21"/>
      <c r="F643" s="7"/>
      <c r="G643" s="2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22"/>
      <c r="B644" s="7"/>
      <c r="C644" s="7"/>
      <c r="D644" s="7"/>
      <c r="E644" s="21"/>
      <c r="F644" s="7"/>
      <c r="G644" s="2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22"/>
      <c r="B645" s="7"/>
      <c r="C645" s="7"/>
      <c r="D645" s="7"/>
      <c r="E645" s="21"/>
      <c r="F645" s="7"/>
      <c r="G645" s="2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22"/>
      <c r="B646" s="7"/>
      <c r="C646" s="7"/>
      <c r="D646" s="7"/>
      <c r="E646" s="21"/>
      <c r="F646" s="7"/>
      <c r="G646" s="2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22"/>
      <c r="B647" s="7"/>
      <c r="C647" s="7"/>
      <c r="D647" s="7"/>
      <c r="E647" s="21"/>
      <c r="F647" s="7"/>
      <c r="G647" s="2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22"/>
      <c r="B648" s="7"/>
      <c r="C648" s="7"/>
      <c r="D648" s="7"/>
      <c r="E648" s="21"/>
      <c r="F648" s="7"/>
      <c r="G648" s="2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22"/>
      <c r="B649" s="7"/>
      <c r="C649" s="7"/>
      <c r="D649" s="7"/>
      <c r="E649" s="21"/>
      <c r="F649" s="7"/>
      <c r="G649" s="2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22"/>
      <c r="B650" s="7"/>
      <c r="C650" s="7"/>
      <c r="D650" s="7"/>
      <c r="E650" s="21"/>
      <c r="F650" s="7"/>
      <c r="G650" s="2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22"/>
      <c r="B651" s="7"/>
      <c r="C651" s="7"/>
      <c r="D651" s="7"/>
      <c r="E651" s="21"/>
      <c r="F651" s="7"/>
      <c r="G651" s="2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22"/>
      <c r="B652" s="7"/>
      <c r="C652" s="7"/>
      <c r="D652" s="7"/>
      <c r="E652" s="21"/>
      <c r="F652" s="7"/>
      <c r="G652" s="2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22"/>
      <c r="B653" s="7"/>
      <c r="C653" s="7"/>
      <c r="D653" s="7"/>
      <c r="E653" s="21"/>
      <c r="F653" s="7"/>
      <c r="G653" s="2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22"/>
      <c r="B654" s="7"/>
      <c r="C654" s="7"/>
      <c r="D654" s="7"/>
      <c r="E654" s="21"/>
      <c r="F654" s="7"/>
      <c r="G654" s="2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22"/>
      <c r="B655" s="7"/>
      <c r="C655" s="7"/>
      <c r="D655" s="7"/>
      <c r="E655" s="21"/>
      <c r="F655" s="7"/>
      <c r="G655" s="2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22"/>
      <c r="B656" s="7"/>
      <c r="C656" s="7"/>
      <c r="D656" s="7"/>
      <c r="E656" s="21"/>
      <c r="F656" s="7"/>
      <c r="G656" s="2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22"/>
      <c r="B657" s="7"/>
      <c r="C657" s="7"/>
      <c r="D657" s="7"/>
      <c r="E657" s="21"/>
      <c r="F657" s="7"/>
      <c r="G657" s="2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22"/>
      <c r="B658" s="7"/>
      <c r="C658" s="7"/>
      <c r="D658" s="7"/>
      <c r="E658" s="21"/>
      <c r="F658" s="7"/>
      <c r="G658" s="2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22"/>
      <c r="B659" s="7"/>
      <c r="C659" s="7"/>
      <c r="D659" s="7"/>
      <c r="E659" s="21"/>
      <c r="F659" s="7"/>
      <c r="G659" s="2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22"/>
      <c r="B660" s="7"/>
      <c r="C660" s="7"/>
      <c r="D660" s="7"/>
      <c r="E660" s="21"/>
      <c r="F660" s="7"/>
      <c r="G660" s="2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22"/>
      <c r="B661" s="7"/>
      <c r="C661" s="7"/>
      <c r="D661" s="7"/>
      <c r="E661" s="21"/>
      <c r="F661" s="7"/>
      <c r="G661" s="2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22"/>
      <c r="B662" s="7"/>
      <c r="C662" s="7"/>
      <c r="D662" s="7"/>
      <c r="E662" s="21"/>
      <c r="F662" s="7"/>
      <c r="G662" s="2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22"/>
      <c r="B663" s="7"/>
      <c r="C663" s="7"/>
      <c r="D663" s="7"/>
      <c r="E663" s="21"/>
      <c r="F663" s="7"/>
      <c r="G663" s="2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22"/>
      <c r="B664" s="7"/>
      <c r="C664" s="7"/>
      <c r="D664" s="7"/>
      <c r="E664" s="21"/>
      <c r="F664" s="7"/>
      <c r="G664" s="2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22"/>
      <c r="B665" s="7"/>
      <c r="C665" s="7"/>
      <c r="D665" s="7"/>
      <c r="E665" s="21"/>
      <c r="F665" s="7"/>
      <c r="G665" s="2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22"/>
      <c r="B666" s="7"/>
      <c r="C666" s="7"/>
      <c r="D666" s="7"/>
      <c r="E666" s="21"/>
      <c r="F666" s="7"/>
      <c r="G666" s="2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22"/>
      <c r="B667" s="7"/>
      <c r="C667" s="7"/>
      <c r="D667" s="7"/>
      <c r="E667" s="21"/>
      <c r="F667" s="7"/>
      <c r="G667" s="2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22"/>
      <c r="B668" s="7"/>
      <c r="C668" s="7"/>
      <c r="D668" s="7"/>
      <c r="E668" s="21"/>
      <c r="F668" s="7"/>
      <c r="G668" s="2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22"/>
      <c r="B669" s="7"/>
      <c r="C669" s="7"/>
      <c r="D669" s="7"/>
      <c r="E669" s="21"/>
      <c r="F669" s="7"/>
      <c r="G669" s="2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22"/>
      <c r="B670" s="7"/>
      <c r="C670" s="7"/>
      <c r="D670" s="7"/>
      <c r="E670" s="21"/>
      <c r="F670" s="7"/>
      <c r="G670" s="2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22"/>
      <c r="B671" s="7"/>
      <c r="C671" s="7"/>
      <c r="D671" s="7"/>
      <c r="E671" s="21"/>
      <c r="F671" s="7"/>
      <c r="G671" s="2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22"/>
      <c r="B672" s="7"/>
      <c r="C672" s="7"/>
      <c r="D672" s="7"/>
      <c r="E672" s="21"/>
      <c r="F672" s="7"/>
      <c r="G672" s="2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22"/>
      <c r="B673" s="7"/>
      <c r="C673" s="7"/>
      <c r="D673" s="7"/>
      <c r="E673" s="21"/>
      <c r="F673" s="7"/>
      <c r="G673" s="2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22"/>
      <c r="B674" s="7"/>
      <c r="C674" s="7"/>
      <c r="D674" s="7"/>
      <c r="E674" s="21"/>
      <c r="F674" s="7"/>
      <c r="G674" s="2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22"/>
      <c r="B675" s="7"/>
      <c r="C675" s="7"/>
      <c r="D675" s="7"/>
      <c r="E675" s="21"/>
      <c r="F675" s="7"/>
      <c r="G675" s="2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22"/>
      <c r="B676" s="7"/>
      <c r="C676" s="7"/>
      <c r="D676" s="7"/>
      <c r="E676" s="21"/>
      <c r="F676" s="7"/>
      <c r="G676" s="2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22"/>
      <c r="B677" s="7"/>
      <c r="C677" s="7"/>
      <c r="D677" s="7"/>
      <c r="E677" s="21"/>
      <c r="F677" s="7"/>
      <c r="G677" s="2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22"/>
      <c r="B678" s="7"/>
      <c r="C678" s="7"/>
      <c r="D678" s="7"/>
      <c r="E678" s="21"/>
      <c r="F678" s="7"/>
      <c r="G678" s="2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22"/>
      <c r="B679" s="7"/>
      <c r="C679" s="7"/>
      <c r="D679" s="7"/>
      <c r="E679" s="21"/>
      <c r="F679" s="7"/>
      <c r="G679" s="2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22"/>
      <c r="B680" s="7"/>
      <c r="C680" s="7"/>
      <c r="D680" s="7"/>
      <c r="E680" s="21"/>
      <c r="F680" s="7"/>
      <c r="G680" s="2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22"/>
      <c r="B681" s="7"/>
      <c r="C681" s="7"/>
      <c r="D681" s="7"/>
      <c r="E681" s="21"/>
      <c r="F681" s="7"/>
      <c r="G681" s="2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22"/>
      <c r="B682" s="7"/>
      <c r="C682" s="7"/>
      <c r="D682" s="7"/>
      <c r="E682" s="21"/>
      <c r="F682" s="7"/>
      <c r="G682" s="2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22"/>
      <c r="B683" s="7"/>
      <c r="C683" s="7"/>
      <c r="D683" s="7"/>
      <c r="E683" s="21"/>
      <c r="F683" s="7"/>
      <c r="G683" s="2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22"/>
      <c r="B684" s="7"/>
      <c r="C684" s="7"/>
      <c r="D684" s="7"/>
      <c r="E684" s="21"/>
      <c r="F684" s="7"/>
      <c r="G684" s="2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22"/>
      <c r="B685" s="7"/>
      <c r="C685" s="7"/>
      <c r="D685" s="7"/>
      <c r="E685" s="21"/>
      <c r="F685" s="7"/>
      <c r="G685" s="2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22"/>
      <c r="B686" s="7"/>
      <c r="C686" s="7"/>
      <c r="D686" s="7"/>
      <c r="E686" s="21"/>
      <c r="F686" s="7"/>
      <c r="G686" s="2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22"/>
      <c r="B687" s="7"/>
      <c r="C687" s="7"/>
      <c r="D687" s="7"/>
      <c r="E687" s="21"/>
      <c r="F687" s="7"/>
      <c r="G687" s="2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22"/>
      <c r="B688" s="7"/>
      <c r="C688" s="7"/>
      <c r="D688" s="7"/>
      <c r="E688" s="21"/>
      <c r="F688" s="7"/>
      <c r="G688" s="2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22"/>
      <c r="B689" s="7"/>
      <c r="C689" s="7"/>
      <c r="D689" s="7"/>
      <c r="E689" s="21"/>
      <c r="F689" s="7"/>
      <c r="G689" s="2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22"/>
      <c r="B690" s="7"/>
      <c r="C690" s="7"/>
      <c r="D690" s="7"/>
      <c r="E690" s="21"/>
      <c r="F690" s="7"/>
      <c r="G690" s="2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22"/>
      <c r="B691" s="7"/>
      <c r="C691" s="7"/>
      <c r="D691" s="7"/>
      <c r="E691" s="21"/>
      <c r="F691" s="7"/>
      <c r="G691" s="2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22"/>
      <c r="B692" s="7"/>
      <c r="C692" s="7"/>
      <c r="D692" s="7"/>
      <c r="E692" s="21"/>
      <c r="F692" s="7"/>
      <c r="G692" s="2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22"/>
      <c r="B693" s="7"/>
      <c r="C693" s="7"/>
      <c r="D693" s="7"/>
      <c r="E693" s="21"/>
      <c r="F693" s="7"/>
      <c r="G693" s="2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22"/>
      <c r="B694" s="7"/>
      <c r="C694" s="7"/>
      <c r="D694" s="7"/>
      <c r="E694" s="21"/>
      <c r="F694" s="7"/>
      <c r="G694" s="2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22"/>
      <c r="B695" s="7"/>
      <c r="C695" s="7"/>
      <c r="D695" s="7"/>
      <c r="E695" s="21"/>
      <c r="F695" s="7"/>
      <c r="G695" s="2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22"/>
      <c r="B696" s="7"/>
      <c r="C696" s="7"/>
      <c r="D696" s="7"/>
      <c r="E696" s="21"/>
      <c r="F696" s="7"/>
      <c r="G696" s="2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22"/>
      <c r="B697" s="7"/>
      <c r="C697" s="7"/>
      <c r="D697" s="7"/>
      <c r="E697" s="21"/>
      <c r="F697" s="7"/>
      <c r="G697" s="2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22"/>
      <c r="B698" s="7"/>
      <c r="C698" s="7"/>
      <c r="D698" s="7"/>
      <c r="E698" s="21"/>
      <c r="F698" s="7"/>
      <c r="G698" s="2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22"/>
      <c r="B699" s="7"/>
      <c r="C699" s="7"/>
      <c r="D699" s="7"/>
      <c r="E699" s="21"/>
      <c r="F699" s="7"/>
      <c r="G699" s="2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22"/>
      <c r="B700" s="7"/>
      <c r="C700" s="7"/>
      <c r="D700" s="7"/>
      <c r="E700" s="21"/>
      <c r="F700" s="7"/>
      <c r="G700" s="2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22"/>
      <c r="B701" s="7"/>
      <c r="C701" s="7"/>
      <c r="D701" s="7"/>
      <c r="E701" s="21"/>
      <c r="F701" s="7"/>
      <c r="G701" s="2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22"/>
      <c r="B702" s="7"/>
      <c r="C702" s="7"/>
      <c r="D702" s="7"/>
      <c r="E702" s="21"/>
      <c r="F702" s="7"/>
      <c r="G702" s="2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22"/>
      <c r="B703" s="7"/>
      <c r="C703" s="7"/>
      <c r="D703" s="7"/>
      <c r="E703" s="21"/>
      <c r="F703" s="7"/>
      <c r="G703" s="2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22"/>
      <c r="B704" s="7"/>
      <c r="C704" s="7"/>
      <c r="D704" s="7"/>
      <c r="E704" s="21"/>
      <c r="F704" s="7"/>
      <c r="G704" s="2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22"/>
      <c r="B705" s="7"/>
      <c r="C705" s="7"/>
      <c r="D705" s="7"/>
      <c r="E705" s="21"/>
      <c r="F705" s="7"/>
      <c r="G705" s="2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22"/>
      <c r="B706" s="7"/>
      <c r="C706" s="7"/>
      <c r="D706" s="7"/>
      <c r="E706" s="21"/>
      <c r="F706" s="7"/>
      <c r="G706" s="2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22"/>
      <c r="B707" s="7"/>
      <c r="C707" s="7"/>
      <c r="D707" s="7"/>
      <c r="E707" s="21"/>
      <c r="F707" s="7"/>
      <c r="G707" s="2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22"/>
      <c r="B708" s="7"/>
      <c r="C708" s="7"/>
      <c r="D708" s="7"/>
      <c r="E708" s="21"/>
      <c r="F708" s="7"/>
      <c r="G708" s="2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22"/>
      <c r="B709" s="7"/>
      <c r="C709" s="7"/>
      <c r="D709" s="7"/>
      <c r="E709" s="21"/>
      <c r="F709" s="7"/>
      <c r="G709" s="2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22"/>
      <c r="B710" s="7"/>
      <c r="C710" s="7"/>
      <c r="D710" s="7"/>
      <c r="E710" s="21"/>
      <c r="F710" s="7"/>
      <c r="G710" s="2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22"/>
      <c r="B711" s="7"/>
      <c r="C711" s="7"/>
      <c r="D711" s="7"/>
      <c r="E711" s="21"/>
      <c r="F711" s="7"/>
      <c r="G711" s="2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22"/>
      <c r="B712" s="7"/>
      <c r="C712" s="7"/>
      <c r="D712" s="7"/>
      <c r="E712" s="21"/>
      <c r="F712" s="7"/>
      <c r="G712" s="2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22"/>
      <c r="B713" s="7"/>
      <c r="C713" s="7"/>
      <c r="D713" s="7"/>
      <c r="E713" s="21"/>
      <c r="F713" s="7"/>
      <c r="G713" s="2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22"/>
      <c r="B714" s="7"/>
      <c r="C714" s="7"/>
      <c r="D714" s="7"/>
      <c r="E714" s="21"/>
      <c r="F714" s="7"/>
      <c r="G714" s="2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22"/>
      <c r="B715" s="7"/>
      <c r="C715" s="7"/>
      <c r="D715" s="7"/>
      <c r="E715" s="21"/>
      <c r="F715" s="7"/>
      <c r="G715" s="2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22"/>
      <c r="B716" s="7"/>
      <c r="C716" s="7"/>
      <c r="D716" s="7"/>
      <c r="E716" s="21"/>
      <c r="F716" s="7"/>
      <c r="G716" s="2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22"/>
      <c r="B717" s="7"/>
      <c r="C717" s="7"/>
      <c r="D717" s="7"/>
      <c r="E717" s="21"/>
      <c r="F717" s="7"/>
      <c r="G717" s="2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22"/>
      <c r="B718" s="7"/>
      <c r="C718" s="7"/>
      <c r="D718" s="7"/>
      <c r="E718" s="21"/>
      <c r="F718" s="7"/>
      <c r="G718" s="2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22"/>
      <c r="B719" s="7"/>
      <c r="C719" s="7"/>
      <c r="D719" s="7"/>
      <c r="E719" s="21"/>
      <c r="F719" s="7"/>
      <c r="G719" s="2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22"/>
      <c r="B720" s="7"/>
      <c r="C720" s="7"/>
      <c r="D720" s="7"/>
      <c r="E720" s="21"/>
      <c r="F720" s="7"/>
      <c r="G720" s="2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22"/>
      <c r="B721" s="7"/>
      <c r="C721" s="7"/>
      <c r="D721" s="7"/>
      <c r="E721" s="21"/>
      <c r="F721" s="7"/>
      <c r="G721" s="2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22"/>
      <c r="B722" s="7"/>
      <c r="C722" s="7"/>
      <c r="D722" s="7"/>
      <c r="E722" s="21"/>
      <c r="F722" s="7"/>
      <c r="G722" s="2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22"/>
      <c r="B723" s="7"/>
      <c r="C723" s="7"/>
      <c r="D723" s="7"/>
      <c r="E723" s="21"/>
      <c r="F723" s="7"/>
      <c r="G723" s="2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22"/>
      <c r="B724" s="7"/>
      <c r="C724" s="7"/>
      <c r="D724" s="7"/>
      <c r="E724" s="21"/>
      <c r="F724" s="7"/>
      <c r="G724" s="2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22"/>
      <c r="B725" s="7"/>
      <c r="C725" s="7"/>
      <c r="D725" s="7"/>
      <c r="E725" s="21"/>
      <c r="F725" s="7"/>
      <c r="G725" s="2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22"/>
      <c r="B726" s="7"/>
      <c r="C726" s="7"/>
      <c r="D726" s="7"/>
      <c r="E726" s="21"/>
      <c r="F726" s="7"/>
      <c r="G726" s="2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22"/>
      <c r="B727" s="7"/>
      <c r="C727" s="7"/>
      <c r="D727" s="7"/>
      <c r="E727" s="21"/>
      <c r="F727" s="7"/>
      <c r="G727" s="2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22"/>
      <c r="B728" s="7"/>
      <c r="C728" s="7"/>
      <c r="D728" s="7"/>
      <c r="E728" s="21"/>
      <c r="F728" s="7"/>
      <c r="G728" s="2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22"/>
      <c r="B729" s="7"/>
      <c r="C729" s="7"/>
      <c r="D729" s="7"/>
      <c r="E729" s="21"/>
      <c r="F729" s="7"/>
      <c r="G729" s="2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22"/>
      <c r="B730" s="7"/>
      <c r="C730" s="7"/>
      <c r="D730" s="7"/>
      <c r="E730" s="21"/>
      <c r="F730" s="7"/>
      <c r="G730" s="2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22"/>
      <c r="B731" s="7"/>
      <c r="C731" s="7"/>
      <c r="D731" s="7"/>
      <c r="E731" s="21"/>
      <c r="F731" s="7"/>
      <c r="G731" s="2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22"/>
      <c r="B732" s="7"/>
      <c r="C732" s="7"/>
      <c r="D732" s="7"/>
      <c r="E732" s="21"/>
      <c r="F732" s="7"/>
      <c r="G732" s="2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22"/>
      <c r="B733" s="7"/>
      <c r="C733" s="7"/>
      <c r="D733" s="7"/>
      <c r="E733" s="21"/>
      <c r="F733" s="7"/>
      <c r="G733" s="2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22"/>
      <c r="B734" s="7"/>
      <c r="C734" s="7"/>
      <c r="D734" s="7"/>
      <c r="E734" s="21"/>
      <c r="F734" s="7"/>
      <c r="G734" s="2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22"/>
      <c r="B735" s="7"/>
      <c r="C735" s="7"/>
      <c r="D735" s="7"/>
      <c r="E735" s="21"/>
      <c r="F735" s="7"/>
      <c r="G735" s="2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22"/>
      <c r="B736" s="7"/>
      <c r="C736" s="7"/>
      <c r="D736" s="7"/>
      <c r="E736" s="21"/>
      <c r="F736" s="7"/>
      <c r="G736" s="2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22"/>
      <c r="B737" s="7"/>
      <c r="C737" s="7"/>
      <c r="D737" s="7"/>
      <c r="E737" s="21"/>
      <c r="F737" s="7"/>
      <c r="G737" s="2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22"/>
      <c r="B738" s="7"/>
      <c r="C738" s="7"/>
      <c r="D738" s="7"/>
      <c r="E738" s="21"/>
      <c r="F738" s="7"/>
      <c r="G738" s="2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22"/>
      <c r="B739" s="7"/>
      <c r="C739" s="7"/>
      <c r="D739" s="7"/>
      <c r="E739" s="21"/>
      <c r="F739" s="7"/>
      <c r="G739" s="2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22"/>
      <c r="B740" s="7"/>
      <c r="C740" s="7"/>
      <c r="D740" s="7"/>
      <c r="E740" s="21"/>
      <c r="F740" s="7"/>
      <c r="G740" s="2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22"/>
      <c r="B741" s="7"/>
      <c r="C741" s="7"/>
      <c r="D741" s="7"/>
      <c r="E741" s="21"/>
      <c r="F741" s="7"/>
      <c r="G741" s="2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22"/>
      <c r="B742" s="7"/>
      <c r="C742" s="7"/>
      <c r="D742" s="7"/>
      <c r="E742" s="21"/>
      <c r="F742" s="7"/>
      <c r="G742" s="2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22"/>
      <c r="B743" s="7"/>
      <c r="C743" s="7"/>
      <c r="D743" s="7"/>
      <c r="E743" s="21"/>
      <c r="F743" s="7"/>
      <c r="G743" s="2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22"/>
      <c r="B744" s="7"/>
      <c r="C744" s="7"/>
      <c r="D744" s="7"/>
      <c r="E744" s="21"/>
      <c r="F744" s="7"/>
      <c r="G744" s="2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22"/>
      <c r="B745" s="7"/>
      <c r="C745" s="7"/>
      <c r="D745" s="7"/>
      <c r="E745" s="21"/>
      <c r="F745" s="7"/>
      <c r="G745" s="2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22"/>
      <c r="B746" s="7"/>
      <c r="C746" s="7"/>
      <c r="D746" s="7"/>
      <c r="E746" s="21"/>
      <c r="F746" s="7"/>
      <c r="G746" s="2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22"/>
      <c r="B747" s="7"/>
      <c r="C747" s="7"/>
      <c r="D747" s="7"/>
      <c r="E747" s="21"/>
      <c r="F747" s="7"/>
      <c r="G747" s="2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22"/>
      <c r="B748" s="7"/>
      <c r="C748" s="7"/>
      <c r="D748" s="7"/>
      <c r="E748" s="21"/>
      <c r="F748" s="7"/>
      <c r="G748" s="2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22"/>
      <c r="B749" s="7"/>
      <c r="C749" s="7"/>
      <c r="D749" s="7"/>
      <c r="E749" s="21"/>
      <c r="F749" s="7"/>
      <c r="G749" s="2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22"/>
      <c r="B750" s="7"/>
      <c r="C750" s="7"/>
      <c r="D750" s="7"/>
      <c r="E750" s="21"/>
      <c r="F750" s="7"/>
      <c r="G750" s="2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22"/>
      <c r="B751" s="7"/>
      <c r="C751" s="7"/>
      <c r="D751" s="7"/>
      <c r="E751" s="21"/>
      <c r="F751" s="7"/>
      <c r="G751" s="2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22"/>
      <c r="B752" s="7"/>
      <c r="C752" s="7"/>
      <c r="D752" s="7"/>
      <c r="E752" s="21"/>
      <c r="F752" s="7"/>
      <c r="G752" s="2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22"/>
      <c r="B753" s="7"/>
      <c r="C753" s="7"/>
      <c r="D753" s="7"/>
      <c r="E753" s="21"/>
      <c r="F753" s="7"/>
      <c r="G753" s="2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22"/>
      <c r="B754" s="7"/>
      <c r="C754" s="7"/>
      <c r="D754" s="7"/>
      <c r="E754" s="21"/>
      <c r="F754" s="7"/>
      <c r="G754" s="2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22"/>
      <c r="B755" s="7"/>
      <c r="C755" s="7"/>
      <c r="D755" s="7"/>
      <c r="E755" s="21"/>
      <c r="F755" s="7"/>
      <c r="G755" s="2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22"/>
      <c r="B756" s="7"/>
      <c r="C756" s="7"/>
      <c r="D756" s="7"/>
      <c r="E756" s="21"/>
      <c r="F756" s="7"/>
      <c r="G756" s="2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22"/>
      <c r="B757" s="7"/>
      <c r="C757" s="7"/>
      <c r="D757" s="7"/>
      <c r="E757" s="21"/>
      <c r="F757" s="7"/>
      <c r="G757" s="2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22"/>
      <c r="B758" s="7"/>
      <c r="C758" s="7"/>
      <c r="D758" s="7"/>
      <c r="E758" s="21"/>
      <c r="F758" s="7"/>
      <c r="G758" s="2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22"/>
      <c r="B759" s="7"/>
      <c r="C759" s="7"/>
      <c r="D759" s="7"/>
      <c r="E759" s="21"/>
      <c r="F759" s="7"/>
      <c r="G759" s="2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22"/>
      <c r="B760" s="7"/>
      <c r="C760" s="7"/>
      <c r="D760" s="7"/>
      <c r="E760" s="21"/>
      <c r="F760" s="7"/>
      <c r="G760" s="2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22"/>
      <c r="B761" s="7"/>
      <c r="C761" s="7"/>
      <c r="D761" s="7"/>
      <c r="E761" s="21"/>
      <c r="F761" s="7"/>
      <c r="G761" s="2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22"/>
      <c r="B762" s="7"/>
      <c r="C762" s="7"/>
      <c r="D762" s="7"/>
      <c r="E762" s="21"/>
      <c r="F762" s="7"/>
      <c r="G762" s="2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22"/>
      <c r="B763" s="7"/>
      <c r="C763" s="7"/>
      <c r="D763" s="7"/>
      <c r="E763" s="21"/>
      <c r="F763" s="7"/>
      <c r="G763" s="2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22"/>
      <c r="B764" s="7"/>
      <c r="C764" s="7"/>
      <c r="D764" s="7"/>
      <c r="E764" s="21"/>
      <c r="F764" s="7"/>
      <c r="G764" s="2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22"/>
      <c r="B765" s="7"/>
      <c r="C765" s="7"/>
      <c r="D765" s="7"/>
      <c r="E765" s="21"/>
      <c r="F765" s="7"/>
      <c r="G765" s="2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22"/>
      <c r="B766" s="7"/>
      <c r="C766" s="7"/>
      <c r="D766" s="7"/>
      <c r="E766" s="21"/>
      <c r="F766" s="7"/>
      <c r="G766" s="2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22"/>
      <c r="B767" s="7"/>
      <c r="C767" s="7"/>
      <c r="D767" s="7"/>
      <c r="E767" s="21"/>
      <c r="F767" s="7"/>
      <c r="G767" s="2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22"/>
      <c r="B768" s="7"/>
      <c r="C768" s="7"/>
      <c r="D768" s="7"/>
      <c r="E768" s="21"/>
      <c r="F768" s="7"/>
      <c r="G768" s="2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22"/>
      <c r="B769" s="7"/>
      <c r="C769" s="7"/>
      <c r="D769" s="7"/>
      <c r="E769" s="21"/>
      <c r="F769" s="7"/>
      <c r="G769" s="2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22"/>
      <c r="B770" s="7"/>
      <c r="C770" s="7"/>
      <c r="D770" s="7"/>
      <c r="E770" s="21"/>
      <c r="F770" s="7"/>
      <c r="G770" s="2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22"/>
      <c r="B771" s="7"/>
      <c r="C771" s="7"/>
      <c r="D771" s="7"/>
      <c r="E771" s="21"/>
      <c r="F771" s="7"/>
      <c r="G771" s="2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22"/>
      <c r="B772" s="7"/>
      <c r="C772" s="7"/>
      <c r="D772" s="7"/>
      <c r="E772" s="21"/>
      <c r="F772" s="7"/>
      <c r="G772" s="2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22"/>
      <c r="B773" s="7"/>
      <c r="C773" s="7"/>
      <c r="D773" s="7"/>
      <c r="E773" s="21"/>
      <c r="F773" s="7"/>
      <c r="G773" s="2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22"/>
      <c r="B774" s="7"/>
      <c r="C774" s="7"/>
      <c r="D774" s="7"/>
      <c r="E774" s="21"/>
      <c r="F774" s="7"/>
      <c r="G774" s="2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22"/>
      <c r="B775" s="7"/>
      <c r="C775" s="7"/>
      <c r="D775" s="7"/>
      <c r="E775" s="21"/>
      <c r="F775" s="7"/>
      <c r="G775" s="2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22"/>
      <c r="B776" s="7"/>
      <c r="C776" s="7"/>
      <c r="D776" s="7"/>
      <c r="E776" s="21"/>
      <c r="F776" s="7"/>
      <c r="G776" s="2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22"/>
      <c r="B777" s="7"/>
      <c r="C777" s="7"/>
      <c r="D777" s="7"/>
      <c r="E777" s="21"/>
      <c r="F777" s="7"/>
      <c r="G777" s="2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22"/>
      <c r="B778" s="7"/>
      <c r="C778" s="7"/>
      <c r="D778" s="7"/>
      <c r="E778" s="21"/>
      <c r="F778" s="7"/>
      <c r="G778" s="2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22"/>
      <c r="B779" s="7"/>
      <c r="C779" s="7"/>
      <c r="D779" s="7"/>
      <c r="E779" s="21"/>
      <c r="F779" s="7"/>
      <c r="G779" s="2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22"/>
      <c r="B780" s="7"/>
      <c r="C780" s="7"/>
      <c r="D780" s="7"/>
      <c r="E780" s="21"/>
      <c r="F780" s="7"/>
      <c r="G780" s="2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22"/>
      <c r="B781" s="7"/>
      <c r="C781" s="7"/>
      <c r="D781" s="7"/>
      <c r="E781" s="21"/>
      <c r="F781" s="7"/>
      <c r="G781" s="2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22"/>
      <c r="B782" s="7"/>
      <c r="C782" s="7"/>
      <c r="D782" s="7"/>
      <c r="E782" s="21"/>
      <c r="F782" s="7"/>
      <c r="G782" s="2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22"/>
      <c r="B783" s="7"/>
      <c r="C783" s="7"/>
      <c r="D783" s="7"/>
      <c r="E783" s="21"/>
      <c r="F783" s="7"/>
      <c r="G783" s="2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22"/>
      <c r="B784" s="7"/>
      <c r="C784" s="7"/>
      <c r="D784" s="7"/>
      <c r="E784" s="21"/>
      <c r="F784" s="7"/>
      <c r="G784" s="2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22"/>
      <c r="B785" s="7"/>
      <c r="C785" s="7"/>
      <c r="D785" s="7"/>
      <c r="E785" s="21"/>
      <c r="F785" s="7"/>
      <c r="G785" s="2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22"/>
      <c r="B786" s="7"/>
      <c r="C786" s="7"/>
      <c r="D786" s="7"/>
      <c r="E786" s="21"/>
      <c r="F786" s="7"/>
      <c r="G786" s="2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22"/>
      <c r="B787" s="7"/>
      <c r="C787" s="7"/>
      <c r="D787" s="7"/>
      <c r="E787" s="21"/>
      <c r="F787" s="7"/>
      <c r="G787" s="2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22"/>
      <c r="B788" s="7"/>
      <c r="C788" s="7"/>
      <c r="D788" s="7"/>
      <c r="E788" s="21"/>
      <c r="F788" s="7"/>
      <c r="G788" s="2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22"/>
      <c r="B789" s="7"/>
      <c r="C789" s="7"/>
      <c r="D789" s="7"/>
      <c r="E789" s="21"/>
      <c r="F789" s="7"/>
      <c r="G789" s="2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22"/>
      <c r="B790" s="7"/>
      <c r="C790" s="7"/>
      <c r="D790" s="7"/>
      <c r="E790" s="21"/>
      <c r="F790" s="7"/>
      <c r="G790" s="2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22"/>
      <c r="B791" s="7"/>
      <c r="C791" s="7"/>
      <c r="D791" s="7"/>
      <c r="E791" s="21"/>
      <c r="F791" s="7"/>
      <c r="G791" s="2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22"/>
      <c r="B792" s="7"/>
      <c r="C792" s="7"/>
      <c r="D792" s="7"/>
      <c r="E792" s="21"/>
      <c r="F792" s="7"/>
      <c r="G792" s="2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22"/>
      <c r="B793" s="7"/>
      <c r="C793" s="7"/>
      <c r="D793" s="7"/>
      <c r="E793" s="21"/>
      <c r="F793" s="7"/>
      <c r="G793" s="2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22"/>
      <c r="B794" s="7"/>
      <c r="C794" s="7"/>
      <c r="D794" s="7"/>
      <c r="E794" s="21"/>
      <c r="F794" s="7"/>
      <c r="G794" s="2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22"/>
      <c r="B795" s="7"/>
      <c r="C795" s="7"/>
      <c r="D795" s="7"/>
      <c r="E795" s="21"/>
      <c r="F795" s="7"/>
      <c r="G795" s="2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22"/>
      <c r="B796" s="7"/>
      <c r="C796" s="7"/>
      <c r="D796" s="7"/>
      <c r="E796" s="21"/>
      <c r="F796" s="7"/>
      <c r="G796" s="2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22"/>
      <c r="B797" s="7"/>
      <c r="C797" s="7"/>
      <c r="D797" s="7"/>
      <c r="E797" s="21"/>
      <c r="F797" s="7"/>
      <c r="G797" s="2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22"/>
      <c r="B798" s="7"/>
      <c r="C798" s="7"/>
      <c r="D798" s="7"/>
      <c r="E798" s="21"/>
      <c r="F798" s="7"/>
      <c r="G798" s="2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22"/>
      <c r="B799" s="7"/>
      <c r="C799" s="7"/>
      <c r="D799" s="7"/>
      <c r="E799" s="21"/>
      <c r="F799" s="7"/>
      <c r="G799" s="2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22"/>
      <c r="B800" s="7"/>
      <c r="C800" s="7"/>
      <c r="D800" s="7"/>
      <c r="E800" s="21"/>
      <c r="F800" s="7"/>
      <c r="G800" s="2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22"/>
      <c r="B801" s="7"/>
      <c r="C801" s="7"/>
      <c r="D801" s="7"/>
      <c r="E801" s="21"/>
      <c r="F801" s="7"/>
      <c r="G801" s="2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22"/>
      <c r="B802" s="7"/>
      <c r="C802" s="7"/>
      <c r="D802" s="7"/>
      <c r="E802" s="21"/>
      <c r="F802" s="7"/>
      <c r="G802" s="2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22"/>
      <c r="B803" s="7"/>
      <c r="C803" s="7"/>
      <c r="D803" s="7"/>
      <c r="E803" s="21"/>
      <c r="F803" s="7"/>
      <c r="G803" s="2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22"/>
      <c r="B804" s="7"/>
      <c r="C804" s="7"/>
      <c r="D804" s="7"/>
      <c r="E804" s="21"/>
      <c r="F804" s="7"/>
      <c r="G804" s="2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22"/>
      <c r="B805" s="7"/>
      <c r="C805" s="7"/>
      <c r="D805" s="7"/>
      <c r="E805" s="21"/>
      <c r="F805" s="7"/>
      <c r="G805" s="2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22"/>
      <c r="B806" s="7"/>
      <c r="C806" s="7"/>
      <c r="D806" s="7"/>
      <c r="E806" s="21"/>
      <c r="F806" s="7"/>
      <c r="G806" s="2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22"/>
      <c r="B807" s="7"/>
      <c r="C807" s="7"/>
      <c r="D807" s="7"/>
      <c r="E807" s="21"/>
      <c r="F807" s="7"/>
      <c r="G807" s="2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22"/>
      <c r="B808" s="7"/>
      <c r="C808" s="7"/>
      <c r="D808" s="7"/>
      <c r="E808" s="21"/>
      <c r="F808" s="7"/>
      <c r="G808" s="2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22"/>
      <c r="B809" s="7"/>
      <c r="C809" s="7"/>
      <c r="D809" s="7"/>
      <c r="E809" s="21"/>
      <c r="F809" s="7"/>
      <c r="G809" s="2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22"/>
      <c r="B810" s="7"/>
      <c r="C810" s="7"/>
      <c r="D810" s="7"/>
      <c r="E810" s="21"/>
      <c r="F810" s="7"/>
      <c r="G810" s="2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22"/>
      <c r="B811" s="7"/>
      <c r="C811" s="7"/>
      <c r="D811" s="7"/>
      <c r="E811" s="21"/>
      <c r="F811" s="7"/>
      <c r="G811" s="2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22"/>
      <c r="B812" s="7"/>
      <c r="C812" s="7"/>
      <c r="D812" s="7"/>
      <c r="E812" s="21"/>
      <c r="F812" s="7"/>
      <c r="G812" s="2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22"/>
      <c r="B813" s="7"/>
      <c r="C813" s="7"/>
      <c r="D813" s="7"/>
      <c r="E813" s="21"/>
      <c r="F813" s="7"/>
      <c r="G813" s="2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22"/>
      <c r="B814" s="7"/>
      <c r="C814" s="7"/>
      <c r="D814" s="7"/>
      <c r="E814" s="21"/>
      <c r="F814" s="7"/>
      <c r="G814" s="2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22"/>
      <c r="B815" s="7"/>
      <c r="C815" s="7"/>
      <c r="D815" s="7"/>
      <c r="E815" s="21"/>
      <c r="F815" s="7"/>
      <c r="G815" s="2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22"/>
      <c r="B816" s="7"/>
      <c r="C816" s="7"/>
      <c r="D816" s="7"/>
      <c r="E816" s="21"/>
      <c r="F816" s="7"/>
      <c r="G816" s="2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22"/>
      <c r="B817" s="7"/>
      <c r="C817" s="7"/>
      <c r="D817" s="7"/>
      <c r="E817" s="21"/>
      <c r="F817" s="7"/>
      <c r="G817" s="2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22"/>
      <c r="B818" s="7"/>
      <c r="C818" s="7"/>
      <c r="D818" s="7"/>
      <c r="E818" s="21"/>
      <c r="F818" s="7"/>
      <c r="G818" s="2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22"/>
      <c r="B819" s="7"/>
      <c r="C819" s="7"/>
      <c r="D819" s="7"/>
      <c r="E819" s="21"/>
      <c r="F819" s="7"/>
      <c r="G819" s="2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22"/>
      <c r="B820" s="7"/>
      <c r="C820" s="7"/>
      <c r="D820" s="7"/>
      <c r="E820" s="21"/>
      <c r="F820" s="7"/>
      <c r="G820" s="2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22"/>
      <c r="B821" s="7"/>
      <c r="C821" s="7"/>
      <c r="D821" s="7"/>
      <c r="E821" s="21"/>
      <c r="F821" s="7"/>
      <c r="G821" s="2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22"/>
      <c r="B822" s="7"/>
      <c r="C822" s="7"/>
      <c r="D822" s="7"/>
      <c r="E822" s="21"/>
      <c r="F822" s="7"/>
      <c r="G822" s="2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22"/>
      <c r="B823" s="7"/>
      <c r="C823" s="7"/>
      <c r="D823" s="7"/>
      <c r="E823" s="21"/>
      <c r="F823" s="7"/>
      <c r="G823" s="2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22"/>
      <c r="B824" s="7"/>
      <c r="C824" s="7"/>
      <c r="D824" s="7"/>
      <c r="E824" s="21"/>
      <c r="F824" s="7"/>
      <c r="G824" s="2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22"/>
      <c r="B825" s="7"/>
      <c r="C825" s="7"/>
      <c r="D825" s="7"/>
      <c r="E825" s="21"/>
      <c r="F825" s="7"/>
      <c r="G825" s="2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22"/>
      <c r="B826" s="7"/>
      <c r="C826" s="7"/>
      <c r="D826" s="7"/>
      <c r="E826" s="21"/>
      <c r="F826" s="7"/>
      <c r="G826" s="2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22"/>
      <c r="B827" s="7"/>
      <c r="C827" s="7"/>
      <c r="D827" s="7"/>
      <c r="E827" s="21"/>
      <c r="F827" s="7"/>
      <c r="G827" s="2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22"/>
      <c r="B828" s="7"/>
      <c r="C828" s="7"/>
      <c r="D828" s="7"/>
      <c r="E828" s="21"/>
      <c r="F828" s="7"/>
      <c r="G828" s="2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22"/>
      <c r="B829" s="7"/>
      <c r="C829" s="7"/>
      <c r="D829" s="7"/>
      <c r="E829" s="21"/>
      <c r="F829" s="7"/>
      <c r="G829" s="2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22"/>
      <c r="B830" s="7"/>
      <c r="C830" s="7"/>
      <c r="D830" s="7"/>
      <c r="E830" s="21"/>
      <c r="F830" s="7"/>
      <c r="G830" s="2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22"/>
      <c r="B831" s="7"/>
      <c r="C831" s="7"/>
      <c r="D831" s="7"/>
      <c r="E831" s="21"/>
      <c r="F831" s="7"/>
      <c r="G831" s="2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22"/>
      <c r="B832" s="7"/>
      <c r="C832" s="7"/>
      <c r="D832" s="7"/>
      <c r="E832" s="21"/>
      <c r="F832" s="7"/>
      <c r="G832" s="2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22"/>
      <c r="B833" s="7"/>
      <c r="C833" s="7"/>
      <c r="D833" s="7"/>
      <c r="E833" s="21"/>
      <c r="F833" s="7"/>
      <c r="G833" s="2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22"/>
      <c r="B834" s="7"/>
      <c r="C834" s="7"/>
      <c r="D834" s="7"/>
      <c r="E834" s="21"/>
      <c r="F834" s="7"/>
      <c r="G834" s="2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22"/>
      <c r="B835" s="7"/>
      <c r="C835" s="7"/>
      <c r="D835" s="7"/>
      <c r="E835" s="21"/>
      <c r="F835" s="7"/>
      <c r="G835" s="2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22"/>
      <c r="B836" s="7"/>
      <c r="C836" s="7"/>
      <c r="D836" s="7"/>
      <c r="E836" s="21"/>
      <c r="F836" s="7"/>
      <c r="G836" s="2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22"/>
      <c r="B837" s="7"/>
      <c r="C837" s="7"/>
      <c r="D837" s="7"/>
      <c r="E837" s="21"/>
      <c r="F837" s="7"/>
      <c r="G837" s="2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22"/>
      <c r="B838" s="7"/>
      <c r="C838" s="7"/>
      <c r="D838" s="7"/>
      <c r="E838" s="21"/>
      <c r="F838" s="7"/>
      <c r="G838" s="2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22"/>
      <c r="B839" s="7"/>
      <c r="C839" s="7"/>
      <c r="D839" s="7"/>
      <c r="E839" s="21"/>
      <c r="F839" s="7"/>
      <c r="G839" s="2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22"/>
      <c r="B840" s="7"/>
      <c r="C840" s="7"/>
      <c r="D840" s="7"/>
      <c r="E840" s="21"/>
      <c r="F840" s="7"/>
      <c r="G840" s="2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22"/>
      <c r="B841" s="7"/>
      <c r="C841" s="7"/>
      <c r="D841" s="7"/>
      <c r="E841" s="21"/>
      <c r="F841" s="7"/>
      <c r="G841" s="2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22"/>
      <c r="B842" s="7"/>
      <c r="C842" s="7"/>
      <c r="D842" s="7"/>
      <c r="E842" s="21"/>
      <c r="F842" s="7"/>
      <c r="G842" s="2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22"/>
      <c r="B843" s="7"/>
      <c r="C843" s="7"/>
      <c r="D843" s="7"/>
      <c r="E843" s="21"/>
      <c r="F843" s="7"/>
      <c r="G843" s="2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22"/>
      <c r="B844" s="7"/>
      <c r="C844" s="7"/>
      <c r="D844" s="7"/>
      <c r="E844" s="21"/>
      <c r="F844" s="7"/>
      <c r="G844" s="2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22"/>
      <c r="B845" s="7"/>
      <c r="C845" s="7"/>
      <c r="D845" s="7"/>
      <c r="E845" s="21"/>
      <c r="F845" s="7"/>
      <c r="G845" s="2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22"/>
      <c r="B846" s="7"/>
      <c r="C846" s="7"/>
      <c r="D846" s="7"/>
      <c r="E846" s="21"/>
      <c r="F846" s="7"/>
      <c r="G846" s="2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22"/>
      <c r="B847" s="7"/>
      <c r="C847" s="7"/>
      <c r="D847" s="7"/>
      <c r="E847" s="21"/>
      <c r="F847" s="7"/>
      <c r="G847" s="2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22"/>
      <c r="B848" s="7"/>
      <c r="C848" s="7"/>
      <c r="D848" s="7"/>
      <c r="E848" s="21"/>
      <c r="F848" s="7"/>
      <c r="G848" s="2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22"/>
      <c r="B849" s="7"/>
      <c r="C849" s="7"/>
      <c r="D849" s="7"/>
      <c r="E849" s="21"/>
      <c r="F849" s="7"/>
      <c r="G849" s="2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22"/>
      <c r="B850" s="7"/>
      <c r="C850" s="7"/>
      <c r="D850" s="7"/>
      <c r="E850" s="21"/>
      <c r="F850" s="7"/>
      <c r="G850" s="2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22"/>
      <c r="B851" s="7"/>
      <c r="C851" s="7"/>
      <c r="D851" s="7"/>
      <c r="E851" s="21"/>
      <c r="F851" s="7"/>
      <c r="G851" s="2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22"/>
      <c r="B852" s="7"/>
      <c r="C852" s="7"/>
      <c r="D852" s="7"/>
      <c r="E852" s="21"/>
      <c r="F852" s="7"/>
      <c r="G852" s="2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22"/>
      <c r="B853" s="7"/>
      <c r="C853" s="7"/>
      <c r="D853" s="7"/>
      <c r="E853" s="21"/>
      <c r="F853" s="7"/>
      <c r="G853" s="2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22"/>
      <c r="B854" s="7"/>
      <c r="C854" s="7"/>
      <c r="D854" s="7"/>
      <c r="E854" s="21"/>
      <c r="F854" s="7"/>
      <c r="G854" s="2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22"/>
      <c r="B855" s="7"/>
      <c r="C855" s="7"/>
      <c r="D855" s="7"/>
      <c r="E855" s="21"/>
      <c r="F855" s="7"/>
      <c r="G855" s="2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22"/>
      <c r="B856" s="7"/>
      <c r="C856" s="7"/>
      <c r="D856" s="7"/>
      <c r="E856" s="21"/>
      <c r="F856" s="7"/>
      <c r="G856" s="2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22"/>
      <c r="B857" s="7"/>
      <c r="C857" s="7"/>
      <c r="D857" s="7"/>
      <c r="E857" s="21"/>
      <c r="F857" s="7"/>
      <c r="G857" s="2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22"/>
      <c r="B858" s="7"/>
      <c r="C858" s="7"/>
      <c r="D858" s="7"/>
      <c r="E858" s="21"/>
      <c r="F858" s="7"/>
      <c r="G858" s="2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22"/>
      <c r="B859" s="7"/>
      <c r="C859" s="7"/>
      <c r="D859" s="7"/>
      <c r="E859" s="21"/>
      <c r="F859" s="7"/>
      <c r="G859" s="2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22"/>
      <c r="B860" s="7"/>
      <c r="C860" s="7"/>
      <c r="D860" s="7"/>
      <c r="E860" s="21"/>
      <c r="F860" s="7"/>
      <c r="G860" s="2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22"/>
      <c r="B861" s="7"/>
      <c r="C861" s="7"/>
      <c r="D861" s="7"/>
      <c r="E861" s="21"/>
      <c r="F861" s="7"/>
      <c r="G861" s="2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22"/>
      <c r="B862" s="7"/>
      <c r="C862" s="7"/>
      <c r="D862" s="7"/>
      <c r="E862" s="21"/>
      <c r="F862" s="7"/>
      <c r="G862" s="2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22"/>
      <c r="B863" s="7"/>
      <c r="C863" s="7"/>
      <c r="D863" s="7"/>
      <c r="E863" s="21"/>
      <c r="F863" s="7"/>
      <c r="G863" s="2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22"/>
      <c r="B864" s="7"/>
      <c r="C864" s="7"/>
      <c r="D864" s="7"/>
      <c r="E864" s="21"/>
      <c r="F864" s="7"/>
      <c r="G864" s="2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22"/>
      <c r="B865" s="7"/>
      <c r="C865" s="7"/>
      <c r="D865" s="7"/>
      <c r="E865" s="21"/>
      <c r="F865" s="7"/>
      <c r="G865" s="2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22"/>
      <c r="B866" s="7"/>
      <c r="C866" s="7"/>
      <c r="D866" s="7"/>
      <c r="E866" s="21"/>
      <c r="F866" s="7"/>
      <c r="G866" s="2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22"/>
      <c r="B867" s="7"/>
      <c r="C867" s="7"/>
      <c r="D867" s="7"/>
      <c r="E867" s="21"/>
      <c r="F867" s="7"/>
      <c r="G867" s="2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22"/>
      <c r="B868" s="7"/>
      <c r="C868" s="7"/>
      <c r="D868" s="7"/>
      <c r="E868" s="21"/>
      <c r="F868" s="7"/>
      <c r="G868" s="2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22"/>
      <c r="B869" s="7"/>
      <c r="C869" s="7"/>
      <c r="D869" s="7"/>
      <c r="E869" s="21"/>
      <c r="F869" s="7"/>
      <c r="G869" s="2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22"/>
      <c r="B870" s="7"/>
      <c r="C870" s="7"/>
      <c r="D870" s="7"/>
      <c r="E870" s="21"/>
      <c r="F870" s="7"/>
      <c r="G870" s="2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22"/>
      <c r="B871" s="7"/>
      <c r="C871" s="7"/>
      <c r="D871" s="7"/>
      <c r="E871" s="21"/>
      <c r="F871" s="7"/>
      <c r="G871" s="2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22"/>
      <c r="B872" s="7"/>
      <c r="C872" s="7"/>
      <c r="D872" s="7"/>
      <c r="E872" s="21"/>
      <c r="F872" s="7"/>
      <c r="G872" s="2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22"/>
      <c r="B873" s="7"/>
      <c r="C873" s="7"/>
      <c r="D873" s="7"/>
      <c r="E873" s="21"/>
      <c r="F873" s="7"/>
      <c r="G873" s="2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22"/>
      <c r="B874" s="7"/>
      <c r="C874" s="7"/>
      <c r="D874" s="7"/>
      <c r="E874" s="21"/>
      <c r="F874" s="7"/>
      <c r="G874" s="2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22"/>
      <c r="B875" s="7"/>
      <c r="C875" s="7"/>
      <c r="D875" s="7"/>
      <c r="E875" s="21"/>
      <c r="F875" s="7"/>
      <c r="G875" s="2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22"/>
      <c r="B876" s="7"/>
      <c r="C876" s="7"/>
      <c r="D876" s="7"/>
      <c r="E876" s="21"/>
      <c r="F876" s="7"/>
      <c r="G876" s="2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22"/>
      <c r="B877" s="7"/>
      <c r="C877" s="7"/>
      <c r="D877" s="7"/>
      <c r="E877" s="21"/>
      <c r="F877" s="7"/>
      <c r="G877" s="2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22"/>
      <c r="B878" s="7"/>
      <c r="C878" s="7"/>
      <c r="D878" s="7"/>
      <c r="E878" s="21"/>
      <c r="F878" s="7"/>
      <c r="G878" s="2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22"/>
      <c r="B879" s="7"/>
      <c r="C879" s="7"/>
      <c r="D879" s="7"/>
      <c r="E879" s="21"/>
      <c r="F879" s="7"/>
      <c r="G879" s="2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22"/>
      <c r="B880" s="7"/>
      <c r="C880" s="7"/>
      <c r="D880" s="7"/>
      <c r="E880" s="21"/>
      <c r="F880" s="7"/>
      <c r="G880" s="2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22"/>
      <c r="B881" s="7"/>
      <c r="C881" s="7"/>
      <c r="D881" s="7"/>
      <c r="E881" s="21"/>
      <c r="F881" s="7"/>
      <c r="G881" s="2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22"/>
      <c r="B882" s="7"/>
      <c r="C882" s="7"/>
      <c r="D882" s="7"/>
      <c r="E882" s="21"/>
      <c r="F882" s="7"/>
      <c r="G882" s="2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22"/>
      <c r="B883" s="7"/>
      <c r="C883" s="7"/>
      <c r="D883" s="7"/>
      <c r="E883" s="21"/>
      <c r="F883" s="7"/>
      <c r="G883" s="2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22"/>
      <c r="B884" s="7"/>
      <c r="C884" s="7"/>
      <c r="D884" s="7"/>
      <c r="E884" s="21"/>
      <c r="F884" s="7"/>
      <c r="G884" s="2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22"/>
      <c r="B885" s="7"/>
      <c r="C885" s="7"/>
      <c r="D885" s="7"/>
      <c r="E885" s="21"/>
      <c r="F885" s="7"/>
      <c r="G885" s="2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22"/>
      <c r="B886" s="7"/>
      <c r="C886" s="7"/>
      <c r="D886" s="7"/>
      <c r="E886" s="21"/>
      <c r="F886" s="7"/>
      <c r="G886" s="2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22"/>
      <c r="B887" s="7"/>
      <c r="C887" s="7"/>
      <c r="D887" s="7"/>
      <c r="E887" s="21"/>
      <c r="F887" s="7"/>
      <c r="G887" s="2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22"/>
      <c r="B888" s="7"/>
      <c r="C888" s="7"/>
      <c r="D888" s="7"/>
      <c r="E888" s="21"/>
      <c r="F888" s="7"/>
      <c r="G888" s="2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22"/>
      <c r="B889" s="7"/>
      <c r="C889" s="7"/>
      <c r="D889" s="7"/>
      <c r="E889" s="21"/>
      <c r="F889" s="7"/>
      <c r="G889" s="2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22"/>
      <c r="B890" s="7"/>
      <c r="C890" s="7"/>
      <c r="D890" s="7"/>
      <c r="E890" s="21"/>
      <c r="F890" s="7"/>
      <c r="G890" s="2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22"/>
      <c r="B891" s="7"/>
      <c r="C891" s="7"/>
      <c r="D891" s="7"/>
      <c r="E891" s="21"/>
      <c r="F891" s="7"/>
      <c r="G891" s="2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22"/>
      <c r="B892" s="7"/>
      <c r="C892" s="7"/>
      <c r="D892" s="7"/>
      <c r="E892" s="21"/>
      <c r="F892" s="7"/>
      <c r="G892" s="2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22"/>
      <c r="B893" s="7"/>
      <c r="C893" s="7"/>
      <c r="D893" s="7"/>
      <c r="E893" s="21"/>
      <c r="F893" s="7"/>
      <c r="G893" s="2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22"/>
      <c r="B894" s="7"/>
      <c r="C894" s="7"/>
      <c r="D894" s="7"/>
      <c r="E894" s="21"/>
      <c r="F894" s="7"/>
      <c r="G894" s="2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22"/>
      <c r="B895" s="7"/>
      <c r="C895" s="7"/>
      <c r="D895" s="7"/>
      <c r="E895" s="21"/>
      <c r="F895" s="7"/>
      <c r="G895" s="2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22"/>
      <c r="B896" s="7"/>
      <c r="C896" s="7"/>
      <c r="D896" s="7"/>
      <c r="E896" s="21"/>
      <c r="F896" s="7"/>
      <c r="G896" s="2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22"/>
      <c r="B897" s="7"/>
      <c r="C897" s="7"/>
      <c r="D897" s="7"/>
      <c r="E897" s="21"/>
      <c r="F897" s="7"/>
      <c r="G897" s="2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22"/>
      <c r="B898" s="7"/>
      <c r="C898" s="7"/>
      <c r="D898" s="7"/>
      <c r="E898" s="21"/>
      <c r="F898" s="7"/>
      <c r="G898" s="2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22"/>
      <c r="B899" s="7"/>
      <c r="C899" s="7"/>
      <c r="D899" s="7"/>
      <c r="E899" s="21"/>
      <c r="F899" s="7"/>
      <c r="G899" s="2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22"/>
      <c r="B900" s="7"/>
      <c r="C900" s="7"/>
      <c r="D900" s="7"/>
      <c r="E900" s="21"/>
      <c r="F900" s="7"/>
      <c r="G900" s="2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22"/>
      <c r="B901" s="7"/>
      <c r="C901" s="7"/>
      <c r="D901" s="7"/>
      <c r="E901" s="21"/>
      <c r="F901" s="7"/>
      <c r="G901" s="2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22"/>
      <c r="B902" s="7"/>
      <c r="C902" s="7"/>
      <c r="D902" s="7"/>
      <c r="E902" s="21"/>
      <c r="F902" s="7"/>
      <c r="G902" s="2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22"/>
      <c r="B903" s="7"/>
      <c r="C903" s="7"/>
      <c r="D903" s="7"/>
      <c r="E903" s="21"/>
      <c r="F903" s="7"/>
      <c r="G903" s="2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22"/>
      <c r="B904" s="7"/>
      <c r="C904" s="7"/>
      <c r="D904" s="7"/>
      <c r="E904" s="21"/>
      <c r="F904" s="7"/>
      <c r="G904" s="2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22"/>
      <c r="B905" s="7"/>
      <c r="C905" s="7"/>
      <c r="D905" s="7"/>
      <c r="E905" s="21"/>
      <c r="F905" s="7"/>
      <c r="G905" s="2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22"/>
      <c r="B906" s="7"/>
      <c r="C906" s="7"/>
      <c r="D906" s="7"/>
      <c r="E906" s="21"/>
      <c r="F906" s="7"/>
      <c r="G906" s="2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22"/>
      <c r="B907" s="7"/>
      <c r="C907" s="7"/>
      <c r="D907" s="7"/>
      <c r="E907" s="21"/>
      <c r="F907" s="7"/>
      <c r="G907" s="2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22"/>
      <c r="B908" s="7"/>
      <c r="C908" s="7"/>
      <c r="D908" s="7"/>
      <c r="E908" s="21"/>
      <c r="F908" s="7"/>
      <c r="G908" s="2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22"/>
      <c r="B909" s="7"/>
      <c r="C909" s="7"/>
      <c r="D909" s="7"/>
      <c r="E909" s="21"/>
      <c r="F909" s="7"/>
      <c r="G909" s="2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22"/>
      <c r="B910" s="7"/>
      <c r="C910" s="7"/>
      <c r="D910" s="7"/>
      <c r="E910" s="21"/>
      <c r="F910" s="7"/>
      <c r="G910" s="2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22"/>
      <c r="B911" s="7"/>
      <c r="C911" s="7"/>
      <c r="D911" s="7"/>
      <c r="E911" s="21"/>
      <c r="F911" s="7"/>
      <c r="G911" s="2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22"/>
      <c r="B912" s="7"/>
      <c r="C912" s="7"/>
      <c r="D912" s="7"/>
      <c r="E912" s="21"/>
      <c r="F912" s="7"/>
      <c r="G912" s="2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22"/>
      <c r="B913" s="7"/>
      <c r="C913" s="7"/>
      <c r="D913" s="7"/>
      <c r="E913" s="21"/>
      <c r="F913" s="7"/>
      <c r="G913" s="2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22"/>
      <c r="B914" s="7"/>
      <c r="C914" s="7"/>
      <c r="D914" s="7"/>
      <c r="E914" s="21"/>
      <c r="F914" s="7"/>
      <c r="G914" s="2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22"/>
      <c r="B915" s="7"/>
      <c r="C915" s="7"/>
      <c r="D915" s="7"/>
      <c r="E915" s="21"/>
      <c r="F915" s="7"/>
      <c r="G915" s="2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22"/>
      <c r="B916" s="7"/>
      <c r="C916" s="7"/>
      <c r="D916" s="7"/>
      <c r="E916" s="21"/>
      <c r="F916" s="7"/>
      <c r="G916" s="2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22"/>
      <c r="B917" s="7"/>
      <c r="C917" s="7"/>
      <c r="D917" s="7"/>
      <c r="E917" s="21"/>
      <c r="F917" s="7"/>
      <c r="G917" s="2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22"/>
      <c r="B918" s="7"/>
      <c r="C918" s="7"/>
      <c r="D918" s="7"/>
      <c r="E918" s="21"/>
      <c r="F918" s="7"/>
      <c r="G918" s="2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22"/>
      <c r="B919" s="7"/>
      <c r="C919" s="7"/>
      <c r="D919" s="7"/>
      <c r="E919" s="21"/>
      <c r="F919" s="7"/>
      <c r="G919" s="2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22"/>
      <c r="B920" s="7"/>
      <c r="C920" s="7"/>
      <c r="D920" s="7"/>
      <c r="E920" s="21"/>
      <c r="F920" s="7"/>
      <c r="G920" s="2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22"/>
      <c r="B921" s="7"/>
      <c r="C921" s="7"/>
      <c r="D921" s="7"/>
      <c r="E921" s="21"/>
      <c r="F921" s="7"/>
      <c r="G921" s="2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22"/>
      <c r="B922" s="7"/>
      <c r="C922" s="7"/>
      <c r="D922" s="7"/>
      <c r="E922" s="21"/>
      <c r="F922" s="7"/>
      <c r="G922" s="2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22"/>
      <c r="B923" s="7"/>
      <c r="C923" s="7"/>
      <c r="D923" s="7"/>
      <c r="E923" s="21"/>
      <c r="F923" s="7"/>
      <c r="G923" s="2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22"/>
      <c r="B924" s="7"/>
      <c r="C924" s="7"/>
      <c r="D924" s="7"/>
      <c r="E924" s="21"/>
      <c r="F924" s="7"/>
      <c r="G924" s="2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22"/>
      <c r="B925" s="7"/>
      <c r="C925" s="7"/>
      <c r="D925" s="7"/>
      <c r="E925" s="21"/>
      <c r="F925" s="7"/>
      <c r="G925" s="2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22"/>
      <c r="B926" s="7"/>
      <c r="C926" s="7"/>
      <c r="D926" s="7"/>
      <c r="E926" s="21"/>
      <c r="F926" s="7"/>
      <c r="G926" s="2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22"/>
      <c r="B927" s="7"/>
      <c r="C927" s="7"/>
      <c r="D927" s="7"/>
      <c r="E927" s="21"/>
      <c r="F927" s="7"/>
      <c r="G927" s="2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22"/>
      <c r="B928" s="7"/>
      <c r="C928" s="7"/>
      <c r="D928" s="7"/>
      <c r="E928" s="21"/>
      <c r="F928" s="7"/>
      <c r="G928" s="2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22"/>
      <c r="B929" s="7"/>
      <c r="C929" s="7"/>
      <c r="D929" s="7"/>
      <c r="E929" s="21"/>
      <c r="F929" s="7"/>
      <c r="G929" s="2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22"/>
      <c r="B930" s="7"/>
      <c r="C930" s="7"/>
      <c r="D930" s="7"/>
      <c r="E930" s="21"/>
      <c r="F930" s="7"/>
      <c r="G930" s="2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22"/>
      <c r="B931" s="7"/>
      <c r="C931" s="7"/>
      <c r="D931" s="7"/>
      <c r="E931" s="21"/>
      <c r="F931" s="7"/>
      <c r="G931" s="2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22"/>
      <c r="B932" s="7"/>
      <c r="C932" s="7"/>
      <c r="D932" s="7"/>
      <c r="E932" s="21"/>
      <c r="F932" s="7"/>
      <c r="G932" s="2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22"/>
      <c r="B933" s="7"/>
      <c r="C933" s="7"/>
      <c r="D933" s="7"/>
      <c r="E933" s="21"/>
      <c r="F933" s="7"/>
      <c r="G933" s="2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22"/>
      <c r="B934" s="7"/>
      <c r="C934" s="7"/>
      <c r="D934" s="7"/>
      <c r="E934" s="21"/>
      <c r="F934" s="7"/>
      <c r="G934" s="2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22"/>
      <c r="B935" s="7"/>
      <c r="C935" s="7"/>
      <c r="D935" s="7"/>
      <c r="E935" s="21"/>
      <c r="F935" s="7"/>
      <c r="G935" s="2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22"/>
      <c r="B936" s="7"/>
      <c r="C936" s="7"/>
      <c r="D936" s="7"/>
      <c r="E936" s="21"/>
      <c r="F936" s="7"/>
      <c r="G936" s="2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22"/>
      <c r="B937" s="7"/>
      <c r="C937" s="7"/>
      <c r="D937" s="7"/>
      <c r="E937" s="21"/>
      <c r="F937" s="7"/>
      <c r="G937" s="2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22"/>
      <c r="B938" s="7"/>
      <c r="C938" s="7"/>
      <c r="D938" s="7"/>
      <c r="E938" s="21"/>
      <c r="F938" s="7"/>
      <c r="G938" s="2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22"/>
      <c r="B939" s="7"/>
      <c r="C939" s="7"/>
      <c r="D939" s="7"/>
      <c r="E939" s="21"/>
      <c r="F939" s="7"/>
      <c r="G939" s="2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22"/>
      <c r="B940" s="7"/>
      <c r="C940" s="7"/>
      <c r="D940" s="7"/>
      <c r="E940" s="21"/>
      <c r="F940" s="7"/>
      <c r="G940" s="2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22"/>
      <c r="B941" s="7"/>
      <c r="C941" s="7"/>
      <c r="D941" s="7"/>
      <c r="E941" s="21"/>
      <c r="F941" s="7"/>
      <c r="G941" s="2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22"/>
      <c r="B942" s="7"/>
      <c r="C942" s="7"/>
      <c r="D942" s="7"/>
      <c r="E942" s="21"/>
      <c r="F942" s="7"/>
      <c r="G942" s="2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22"/>
      <c r="B943" s="7"/>
      <c r="C943" s="7"/>
      <c r="D943" s="7"/>
      <c r="E943" s="21"/>
      <c r="F943" s="7"/>
      <c r="G943" s="2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22"/>
      <c r="B944" s="7"/>
      <c r="C944" s="7"/>
      <c r="D944" s="7"/>
      <c r="E944" s="21"/>
      <c r="F944" s="7"/>
      <c r="G944" s="2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22"/>
      <c r="B945" s="7"/>
      <c r="C945" s="7"/>
      <c r="D945" s="7"/>
      <c r="E945" s="21"/>
      <c r="F945" s="7"/>
      <c r="G945" s="2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22"/>
      <c r="B946" s="7"/>
      <c r="C946" s="7"/>
      <c r="D946" s="7"/>
      <c r="E946" s="21"/>
      <c r="F946" s="7"/>
      <c r="G946" s="2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22"/>
      <c r="B947" s="7"/>
      <c r="C947" s="7"/>
      <c r="D947" s="7"/>
      <c r="E947" s="21"/>
      <c r="F947" s="7"/>
      <c r="G947" s="2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22"/>
      <c r="B948" s="7"/>
      <c r="C948" s="7"/>
      <c r="D948" s="7"/>
      <c r="E948" s="21"/>
      <c r="F948" s="7"/>
      <c r="G948" s="2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22"/>
      <c r="B949" s="7"/>
      <c r="C949" s="7"/>
      <c r="D949" s="7"/>
      <c r="E949" s="21"/>
      <c r="F949" s="7"/>
      <c r="G949" s="2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22"/>
      <c r="B950" s="7"/>
      <c r="C950" s="7"/>
      <c r="D950" s="7"/>
      <c r="E950" s="21"/>
      <c r="F950" s="7"/>
      <c r="G950" s="2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22"/>
      <c r="B951" s="7"/>
      <c r="C951" s="7"/>
      <c r="D951" s="7"/>
      <c r="E951" s="21"/>
      <c r="F951" s="7"/>
      <c r="G951" s="2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22"/>
      <c r="B952" s="7"/>
      <c r="C952" s="7"/>
      <c r="D952" s="7"/>
      <c r="E952" s="21"/>
      <c r="F952" s="7"/>
      <c r="G952" s="2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22"/>
      <c r="B953" s="7"/>
      <c r="C953" s="7"/>
      <c r="D953" s="7"/>
      <c r="E953" s="21"/>
      <c r="F953" s="7"/>
      <c r="G953" s="2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22"/>
      <c r="B954" s="7"/>
      <c r="C954" s="7"/>
      <c r="D954" s="7"/>
      <c r="E954" s="21"/>
      <c r="F954" s="7"/>
      <c r="G954" s="2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22"/>
      <c r="B955" s="7"/>
      <c r="C955" s="7"/>
      <c r="D955" s="7"/>
      <c r="E955" s="21"/>
      <c r="F955" s="7"/>
      <c r="G955" s="2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22"/>
      <c r="B956" s="7"/>
      <c r="C956" s="7"/>
      <c r="D956" s="7"/>
      <c r="E956" s="21"/>
      <c r="F956" s="7"/>
      <c r="G956" s="2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22"/>
      <c r="B957" s="7"/>
      <c r="C957" s="7"/>
      <c r="D957" s="7"/>
      <c r="E957" s="21"/>
      <c r="F957" s="7"/>
      <c r="G957" s="2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22"/>
      <c r="B958" s="7"/>
      <c r="C958" s="7"/>
      <c r="D958" s="7"/>
      <c r="E958" s="21"/>
      <c r="F958" s="7"/>
      <c r="G958" s="2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22"/>
      <c r="B959" s="7"/>
      <c r="C959" s="7"/>
      <c r="D959" s="7"/>
      <c r="E959" s="21"/>
      <c r="F959" s="7"/>
      <c r="G959" s="2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22"/>
      <c r="B960" s="7"/>
      <c r="C960" s="7"/>
      <c r="D960" s="7"/>
      <c r="E960" s="21"/>
      <c r="F960" s="7"/>
      <c r="G960" s="2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22"/>
      <c r="B961" s="7"/>
      <c r="C961" s="7"/>
      <c r="D961" s="7"/>
      <c r="E961" s="21"/>
      <c r="F961" s="7"/>
      <c r="G961" s="2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22"/>
      <c r="B962" s="7"/>
      <c r="C962" s="7"/>
      <c r="D962" s="7"/>
      <c r="E962" s="21"/>
      <c r="F962" s="7"/>
      <c r="G962" s="2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22"/>
      <c r="B963" s="7"/>
      <c r="C963" s="7"/>
      <c r="D963" s="7"/>
      <c r="E963" s="21"/>
      <c r="F963" s="7"/>
      <c r="G963" s="2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22"/>
      <c r="B964" s="7"/>
      <c r="C964" s="7"/>
      <c r="D964" s="7"/>
      <c r="E964" s="21"/>
      <c r="F964" s="7"/>
      <c r="G964" s="2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22"/>
      <c r="B965" s="7"/>
      <c r="C965" s="7"/>
      <c r="D965" s="7"/>
      <c r="E965" s="21"/>
      <c r="F965" s="7"/>
      <c r="G965" s="2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22"/>
      <c r="B966" s="7"/>
      <c r="C966" s="7"/>
      <c r="D966" s="7"/>
      <c r="E966" s="21"/>
      <c r="F966" s="7"/>
      <c r="G966" s="2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22"/>
      <c r="B967" s="7"/>
      <c r="C967" s="7"/>
      <c r="D967" s="7"/>
      <c r="E967" s="21"/>
      <c r="F967" s="7"/>
      <c r="G967" s="2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22"/>
      <c r="B968" s="7"/>
      <c r="C968" s="7"/>
      <c r="D968" s="7"/>
      <c r="E968" s="21"/>
      <c r="F968" s="7"/>
      <c r="G968" s="2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22"/>
      <c r="B969" s="7"/>
      <c r="C969" s="7"/>
      <c r="D969" s="7"/>
      <c r="E969" s="21"/>
      <c r="F969" s="7"/>
      <c r="G969" s="2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22"/>
      <c r="B970" s="7"/>
      <c r="C970" s="7"/>
      <c r="D970" s="7"/>
      <c r="E970" s="21"/>
      <c r="F970" s="7"/>
      <c r="G970" s="2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22"/>
      <c r="B971" s="7"/>
      <c r="C971" s="7"/>
      <c r="D971" s="7"/>
      <c r="E971" s="21"/>
      <c r="F971" s="7"/>
      <c r="G971" s="2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22"/>
      <c r="B972" s="7"/>
      <c r="C972" s="7"/>
      <c r="D972" s="7"/>
      <c r="E972" s="21"/>
      <c r="F972" s="7"/>
      <c r="G972" s="2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22"/>
      <c r="B973" s="7"/>
      <c r="C973" s="7"/>
      <c r="D973" s="7"/>
      <c r="E973" s="21"/>
      <c r="F973" s="7"/>
      <c r="G973" s="2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22"/>
      <c r="B974" s="7"/>
      <c r="C974" s="7"/>
      <c r="D974" s="7"/>
      <c r="E974" s="21"/>
      <c r="F974" s="7"/>
      <c r="G974" s="2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22"/>
      <c r="B975" s="7"/>
      <c r="C975" s="7"/>
      <c r="D975" s="7"/>
      <c r="E975" s="21"/>
      <c r="F975" s="7"/>
      <c r="G975" s="2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22"/>
      <c r="B976" s="7"/>
      <c r="C976" s="7"/>
      <c r="D976" s="7"/>
      <c r="E976" s="21"/>
      <c r="F976" s="7"/>
      <c r="G976" s="2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">
      <c r="A977" s="22"/>
      <c r="B977" s="7"/>
      <c r="C977" s="7"/>
      <c r="D977" s="7"/>
      <c r="E977" s="21"/>
      <c r="F977" s="7"/>
      <c r="G977" s="2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">
      <c r="A978" s="22"/>
      <c r="B978" s="7"/>
      <c r="C978" s="7"/>
      <c r="D978" s="7"/>
      <c r="E978" s="21"/>
      <c r="F978" s="7"/>
      <c r="G978" s="2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">
      <c r="A979" s="22"/>
      <c r="B979" s="7"/>
      <c r="C979" s="7"/>
      <c r="D979" s="7"/>
      <c r="E979" s="21"/>
      <c r="F979" s="7"/>
      <c r="G979" s="2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">
      <c r="A980" s="22"/>
      <c r="B980" s="7"/>
      <c r="C980" s="7"/>
      <c r="D980" s="7"/>
      <c r="E980" s="21"/>
      <c r="F980" s="7"/>
      <c r="G980" s="2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">
      <c r="A981" s="22"/>
      <c r="B981" s="7"/>
      <c r="C981" s="7"/>
      <c r="D981" s="7"/>
      <c r="E981" s="21"/>
      <c r="F981" s="7"/>
      <c r="G981" s="2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">
      <c r="A982" s="22"/>
      <c r="B982" s="7"/>
      <c r="C982" s="7"/>
      <c r="D982" s="7"/>
      <c r="E982" s="21"/>
      <c r="F982" s="7"/>
      <c r="G982" s="2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">
      <c r="A983" s="22"/>
      <c r="B983" s="7"/>
      <c r="C983" s="7"/>
      <c r="D983" s="7"/>
      <c r="E983" s="21"/>
      <c r="F983" s="7"/>
      <c r="G983" s="2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">
      <c r="A984" s="22"/>
      <c r="B984" s="7"/>
      <c r="C984" s="7"/>
      <c r="D984" s="7"/>
      <c r="E984" s="21"/>
      <c r="F984" s="7"/>
      <c r="G984" s="2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">
      <c r="A985" s="22"/>
      <c r="B985" s="7"/>
      <c r="C985" s="7"/>
      <c r="D985" s="7"/>
      <c r="E985" s="21"/>
      <c r="F985" s="7"/>
      <c r="G985" s="2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">
      <c r="A986" s="22"/>
      <c r="B986" s="7"/>
      <c r="C986" s="7"/>
      <c r="D986" s="7"/>
      <c r="E986" s="21"/>
      <c r="F986" s="7"/>
      <c r="G986" s="21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">
      <c r="A987" s="22"/>
      <c r="B987" s="7"/>
      <c r="C987" s="7"/>
      <c r="D987" s="7"/>
      <c r="E987" s="21"/>
      <c r="F987" s="7"/>
      <c r="G987" s="21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">
      <c r="A988" s="22"/>
      <c r="B988" s="7"/>
      <c r="C988" s="7"/>
      <c r="D988" s="7"/>
      <c r="E988" s="21"/>
      <c r="F988" s="7"/>
      <c r="G988" s="21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">
      <c r="A989" s="22"/>
      <c r="B989" s="7"/>
      <c r="C989" s="7"/>
      <c r="D989" s="7"/>
      <c r="E989" s="21"/>
      <c r="F989" s="7"/>
      <c r="G989" s="21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">
      <c r="A990" s="22"/>
      <c r="B990" s="7"/>
      <c r="C990" s="7"/>
      <c r="D990" s="7"/>
      <c r="E990" s="21"/>
      <c r="F990" s="7"/>
      <c r="G990" s="21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">
      <c r="A991" s="22"/>
      <c r="B991" s="7"/>
      <c r="C991" s="7"/>
      <c r="D991" s="7"/>
      <c r="E991" s="21"/>
      <c r="F991" s="7"/>
      <c r="G991" s="21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">
      <c r="A992" s="22"/>
      <c r="B992" s="7"/>
      <c r="C992" s="7"/>
      <c r="D992" s="7"/>
      <c r="E992" s="21"/>
      <c r="F992" s="7"/>
      <c r="G992" s="21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">
      <c r="A993" s="22"/>
      <c r="B993" s="7"/>
      <c r="C993" s="7"/>
      <c r="D993" s="7"/>
      <c r="E993" s="21"/>
      <c r="F993" s="7"/>
      <c r="G993" s="21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">
      <c r="A994" s="22"/>
      <c r="B994" s="7"/>
      <c r="C994" s="7"/>
      <c r="D994" s="7"/>
      <c r="E994" s="21"/>
      <c r="F994" s="7"/>
      <c r="G994" s="21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">
      <c r="A995" s="22"/>
      <c r="B995" s="7"/>
      <c r="C995" s="7"/>
      <c r="D995" s="7"/>
      <c r="E995" s="21"/>
      <c r="F995" s="7"/>
      <c r="G995" s="21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">
      <c r="A996" s="22"/>
      <c r="B996" s="7"/>
      <c r="C996" s="7"/>
      <c r="D996" s="7"/>
      <c r="E996" s="21"/>
      <c r="F996" s="7"/>
      <c r="G996" s="21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">
      <c r="A997" s="22"/>
      <c r="B997" s="7"/>
      <c r="C997" s="7"/>
      <c r="D997" s="7"/>
      <c r="E997" s="21"/>
      <c r="F997" s="7"/>
      <c r="G997" s="21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">
      <c r="A998" s="22"/>
      <c r="B998" s="7"/>
      <c r="C998" s="7"/>
      <c r="D998" s="7"/>
      <c r="E998" s="21"/>
      <c r="F998" s="7"/>
      <c r="G998" s="21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">
      <c r="A999" s="22"/>
      <c r="B999" s="7"/>
      <c r="C999" s="7"/>
      <c r="D999" s="7"/>
      <c r="E999" s="21"/>
      <c r="F999" s="7"/>
      <c r="G999" s="21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">
      <c r="A1000" s="22"/>
      <c r="B1000" s="7"/>
      <c r="C1000" s="7"/>
      <c r="D1000" s="7"/>
      <c r="E1000" s="21"/>
      <c r="F1000" s="7"/>
      <c r="G1000" s="21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A1:G313" xr:uid="{00000000-0009-0000-0000-000002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6.83203125" customWidth="1"/>
    <col min="2" max="2" width="10.1640625" customWidth="1"/>
    <col min="3" max="3" width="11.1640625" customWidth="1"/>
    <col min="4" max="4" width="14.5" customWidth="1"/>
    <col min="5" max="5" width="27.6640625" customWidth="1"/>
    <col min="6" max="26" width="8.83203125" customWidth="1"/>
  </cols>
  <sheetData>
    <row r="1" spans="1:26" x14ac:dyDescent="0.2">
      <c r="A1" s="24" t="s">
        <v>24</v>
      </c>
      <c r="B1" s="25" t="s">
        <v>12</v>
      </c>
      <c r="C1" s="25" t="s">
        <v>11</v>
      </c>
      <c r="D1" s="25" t="s">
        <v>14</v>
      </c>
      <c r="E1" s="26" t="s">
        <v>25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2">
      <c r="A2" s="22">
        <v>41855</v>
      </c>
      <c r="B2" s="7">
        <v>1</v>
      </c>
      <c r="C2" s="7" t="s">
        <v>16</v>
      </c>
      <c r="D2" s="7" t="str">
        <f t="shared" ref="D2:D209" si="0">TEXT(A2,"yyyy-mm-dd")&amp;"-"&amp;B2&amp;"-"&amp;C2</f>
        <v>2014-08-04-1-A</v>
      </c>
      <c r="E2" s="28">
        <v>15550.8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22">
        <v>41855</v>
      </c>
      <c r="B3" s="7">
        <v>1</v>
      </c>
      <c r="C3" s="7" t="s">
        <v>17</v>
      </c>
      <c r="D3" s="7" t="str">
        <f t="shared" si="0"/>
        <v>2014-08-04-1-B</v>
      </c>
      <c r="E3" s="28">
        <v>15687.000000000002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22">
        <v>41855</v>
      </c>
      <c r="B4" s="7">
        <v>2</v>
      </c>
      <c r="C4" s="7" t="s">
        <v>16</v>
      </c>
      <c r="D4" s="7" t="str">
        <f t="shared" si="0"/>
        <v>2014-08-04-2-A</v>
      </c>
      <c r="E4" s="28">
        <v>14127.6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22">
        <v>41855</v>
      </c>
      <c r="B5" s="7">
        <v>2</v>
      </c>
      <c r="C5" s="7" t="s">
        <v>17</v>
      </c>
      <c r="D5" s="7" t="str">
        <f t="shared" si="0"/>
        <v>2014-08-04-2-B</v>
      </c>
      <c r="E5" s="28">
        <v>21048.800000000003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22">
        <v>41862</v>
      </c>
      <c r="B6" s="7">
        <v>1</v>
      </c>
      <c r="C6" s="7" t="s">
        <v>16</v>
      </c>
      <c r="D6" s="7" t="str">
        <f t="shared" si="0"/>
        <v>2014-08-11-1-A</v>
      </c>
      <c r="E6" s="28">
        <v>16671.2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22">
        <v>41862</v>
      </c>
      <c r="B7" s="7">
        <v>1</v>
      </c>
      <c r="C7" s="7" t="s">
        <v>17</v>
      </c>
      <c r="D7" s="7" t="str">
        <f t="shared" si="0"/>
        <v>2014-08-11-1-B</v>
      </c>
      <c r="E7" s="28">
        <v>14425.400000000001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22">
        <v>41862</v>
      </c>
      <c r="B8" s="7">
        <v>2</v>
      </c>
      <c r="C8" s="7" t="s">
        <v>16</v>
      </c>
      <c r="D8" s="7" t="str">
        <f t="shared" si="0"/>
        <v>2014-08-11-2-A</v>
      </c>
      <c r="E8" s="28">
        <v>13172.4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22">
        <v>41862</v>
      </c>
      <c r="B9" s="7">
        <v>2</v>
      </c>
      <c r="C9" s="7" t="s">
        <v>17</v>
      </c>
      <c r="D9" s="7" t="str">
        <f t="shared" si="0"/>
        <v>2014-08-11-2-B</v>
      </c>
      <c r="E9" s="28">
        <v>16732.800000000003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22">
        <v>41869</v>
      </c>
      <c r="B10" s="7">
        <v>1</v>
      </c>
      <c r="C10" s="7" t="s">
        <v>16</v>
      </c>
      <c r="D10" s="7" t="str">
        <f t="shared" si="0"/>
        <v>2014-08-18-1-A</v>
      </c>
      <c r="E10" s="28">
        <v>15800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22">
        <v>41869</v>
      </c>
      <c r="B11" s="7">
        <v>1</v>
      </c>
      <c r="C11" s="7" t="s">
        <v>17</v>
      </c>
      <c r="D11" s="7" t="str">
        <f t="shared" si="0"/>
        <v>2014-08-18-1-B</v>
      </c>
      <c r="E11" s="28">
        <v>14790.6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22">
        <v>41869</v>
      </c>
      <c r="B12" s="7">
        <v>2</v>
      </c>
      <c r="C12" s="7" t="s">
        <v>16</v>
      </c>
      <c r="D12" s="7" t="str">
        <f t="shared" si="0"/>
        <v>2014-08-18-2-A</v>
      </c>
      <c r="E12" s="28">
        <v>11660.2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22">
        <v>41869</v>
      </c>
      <c r="B13" s="7">
        <v>2</v>
      </c>
      <c r="C13" s="7" t="s">
        <v>17</v>
      </c>
      <c r="D13" s="7" t="str">
        <f t="shared" si="0"/>
        <v>2014-08-18-2-B</v>
      </c>
      <c r="E13" s="28">
        <v>19729.100000000002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22">
        <v>41876</v>
      </c>
      <c r="B14" s="7">
        <v>1</v>
      </c>
      <c r="C14" s="7" t="s">
        <v>16</v>
      </c>
      <c r="D14" s="7" t="str">
        <f t="shared" si="0"/>
        <v>2014-08-25-1-A</v>
      </c>
      <c r="E14" s="28">
        <v>14934.6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22">
        <v>41876</v>
      </c>
      <c r="B15" s="7">
        <v>1</v>
      </c>
      <c r="C15" s="7" t="s">
        <v>17</v>
      </c>
      <c r="D15" s="7" t="str">
        <f t="shared" si="0"/>
        <v>2014-08-25-1-B</v>
      </c>
      <c r="E15" s="28">
        <v>20774.900000000001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22">
        <v>41876</v>
      </c>
      <c r="B16" s="7">
        <v>2</v>
      </c>
      <c r="C16" s="7" t="s">
        <v>16</v>
      </c>
      <c r="D16" s="7" t="str">
        <f t="shared" si="0"/>
        <v>2014-08-25-2-A</v>
      </c>
      <c r="E16" s="28">
        <v>11269.2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22">
        <v>41876</v>
      </c>
      <c r="B17" s="7">
        <v>2</v>
      </c>
      <c r="C17" s="7" t="s">
        <v>17</v>
      </c>
      <c r="D17" s="7" t="str">
        <f t="shared" si="0"/>
        <v>2014-08-25-2-B</v>
      </c>
      <c r="E17" s="28">
        <v>28693.100000000002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22">
        <v>41883</v>
      </c>
      <c r="B18" s="7">
        <v>1</v>
      </c>
      <c r="C18" s="7" t="s">
        <v>16</v>
      </c>
      <c r="D18" s="7" t="str">
        <f t="shared" si="0"/>
        <v>2014-09-01-1-A</v>
      </c>
      <c r="E18" s="28">
        <v>15082.4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22">
        <v>41883</v>
      </c>
      <c r="B19" s="7">
        <v>1</v>
      </c>
      <c r="C19" s="7" t="s">
        <v>17</v>
      </c>
      <c r="D19" s="7" t="str">
        <f t="shared" si="0"/>
        <v>2014-09-01-1-B</v>
      </c>
      <c r="E19" s="28">
        <v>16151.800000000001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22">
        <v>41883</v>
      </c>
      <c r="B20" s="7">
        <v>2</v>
      </c>
      <c r="C20" s="7" t="s">
        <v>16</v>
      </c>
      <c r="D20" s="7" t="str">
        <f t="shared" si="0"/>
        <v>2014-09-01-2-A</v>
      </c>
      <c r="E20" s="28">
        <v>14437.400000000001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">
      <c r="A21" s="22">
        <v>41883</v>
      </c>
      <c r="B21" s="7">
        <v>2</v>
      </c>
      <c r="C21" s="7" t="s">
        <v>17</v>
      </c>
      <c r="D21" s="7" t="str">
        <f t="shared" si="0"/>
        <v>2014-09-01-2-B</v>
      </c>
      <c r="E21" s="28">
        <v>16824.100000000002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">
      <c r="A22" s="22">
        <v>41890</v>
      </c>
      <c r="B22" s="7">
        <v>1</v>
      </c>
      <c r="C22" s="7" t="s">
        <v>16</v>
      </c>
      <c r="D22" s="7" t="str">
        <f t="shared" si="0"/>
        <v>2014-09-08-1-A</v>
      </c>
      <c r="E22" s="28">
        <v>13352.400000000001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">
      <c r="A23" s="22">
        <v>41890</v>
      </c>
      <c r="B23" s="7">
        <v>1</v>
      </c>
      <c r="C23" s="7" t="s">
        <v>17</v>
      </c>
      <c r="D23" s="7" t="str">
        <f t="shared" si="0"/>
        <v>2014-09-08-1-B</v>
      </c>
      <c r="E23" s="28">
        <v>16973.5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">
      <c r="A24" s="22">
        <v>41890</v>
      </c>
      <c r="B24" s="7">
        <v>2</v>
      </c>
      <c r="C24" s="7" t="s">
        <v>16</v>
      </c>
      <c r="D24" s="7" t="str">
        <f t="shared" si="0"/>
        <v>2014-09-08-2-A</v>
      </c>
      <c r="E24" s="28">
        <v>11696.8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22">
        <v>41890</v>
      </c>
      <c r="B25" s="7">
        <v>2</v>
      </c>
      <c r="C25" s="7" t="s">
        <v>17</v>
      </c>
      <c r="D25" s="7" t="str">
        <f t="shared" si="0"/>
        <v>2014-09-08-2-B</v>
      </c>
      <c r="E25" s="28">
        <v>18044.2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22">
        <v>41897</v>
      </c>
      <c r="B26" s="7">
        <v>1</v>
      </c>
      <c r="C26" s="7" t="s">
        <v>16</v>
      </c>
      <c r="D26" s="7" t="str">
        <f t="shared" si="0"/>
        <v>2014-09-15-1-A</v>
      </c>
      <c r="E26" s="28">
        <v>15394.2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22">
        <v>41897</v>
      </c>
      <c r="B27" s="7">
        <v>1</v>
      </c>
      <c r="C27" s="7" t="s">
        <v>17</v>
      </c>
      <c r="D27" s="7" t="str">
        <f t="shared" si="0"/>
        <v>2014-09-15-1-B</v>
      </c>
      <c r="E27" s="28">
        <v>19048.5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22">
        <v>41897</v>
      </c>
      <c r="B28" s="7">
        <v>2</v>
      </c>
      <c r="C28" s="7" t="s">
        <v>16</v>
      </c>
      <c r="D28" s="7" t="str">
        <f t="shared" si="0"/>
        <v>2014-09-15-2-A</v>
      </c>
      <c r="E28" s="28">
        <v>15032.2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22">
        <v>41897</v>
      </c>
      <c r="B29" s="7">
        <v>2</v>
      </c>
      <c r="C29" s="7" t="s">
        <v>17</v>
      </c>
      <c r="D29" s="7" t="str">
        <f t="shared" si="0"/>
        <v>2014-09-15-2-B</v>
      </c>
      <c r="E29" s="28">
        <v>23646.7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22">
        <v>41904</v>
      </c>
      <c r="B30" s="7">
        <v>1</v>
      </c>
      <c r="C30" s="7" t="s">
        <v>16</v>
      </c>
      <c r="D30" s="7" t="str">
        <f t="shared" si="0"/>
        <v>2014-09-22-1-A</v>
      </c>
      <c r="E30" s="28">
        <v>14600.800000000001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22">
        <v>41904</v>
      </c>
      <c r="B31" s="7">
        <v>1</v>
      </c>
      <c r="C31" s="7" t="s">
        <v>17</v>
      </c>
      <c r="D31" s="7" t="str">
        <f t="shared" si="0"/>
        <v>2014-09-22-1-B</v>
      </c>
      <c r="E31" s="28">
        <v>15894.500000000002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22">
        <v>41904</v>
      </c>
      <c r="B32" s="7">
        <v>2</v>
      </c>
      <c r="C32" s="7" t="s">
        <v>16</v>
      </c>
      <c r="D32" s="7" t="str">
        <f t="shared" si="0"/>
        <v>2014-09-22-2-A</v>
      </c>
      <c r="E32" s="28">
        <v>11111.8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22">
        <v>41904</v>
      </c>
      <c r="B33" s="7">
        <v>2</v>
      </c>
      <c r="C33" s="7" t="s">
        <v>17</v>
      </c>
      <c r="D33" s="7" t="str">
        <f t="shared" si="0"/>
        <v>2014-09-22-2-B</v>
      </c>
      <c r="E33" s="28">
        <v>18890.800000000003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22">
        <v>41911</v>
      </c>
      <c r="B34" s="7">
        <v>1</v>
      </c>
      <c r="C34" s="7" t="s">
        <v>16</v>
      </c>
      <c r="D34" s="7" t="str">
        <f t="shared" si="0"/>
        <v>2014-09-29-1-A</v>
      </c>
      <c r="E34" s="28">
        <v>12973.2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22">
        <v>41911</v>
      </c>
      <c r="B35" s="7">
        <v>1</v>
      </c>
      <c r="C35" s="7" t="s">
        <v>17</v>
      </c>
      <c r="D35" s="7" t="str">
        <f t="shared" si="0"/>
        <v>2014-09-29-1-B</v>
      </c>
      <c r="E35" s="28">
        <v>15770.000000000002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22">
        <v>41911</v>
      </c>
      <c r="B36" s="7">
        <v>2</v>
      </c>
      <c r="C36" s="7" t="s">
        <v>16</v>
      </c>
      <c r="D36" s="7" t="str">
        <f t="shared" si="0"/>
        <v>2014-09-29-2-A</v>
      </c>
      <c r="E36" s="28">
        <v>10846.6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22">
        <v>41911</v>
      </c>
      <c r="B37" s="7">
        <v>2</v>
      </c>
      <c r="C37" s="7" t="s">
        <v>17</v>
      </c>
      <c r="D37" s="7" t="str">
        <f t="shared" si="0"/>
        <v>2014-09-29-2-B</v>
      </c>
      <c r="E37" s="28">
        <v>21198.2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22">
        <v>41918</v>
      </c>
      <c r="B38" s="7">
        <v>1</v>
      </c>
      <c r="C38" s="7" t="s">
        <v>16</v>
      </c>
      <c r="D38" s="7" t="str">
        <f t="shared" si="0"/>
        <v>2014-10-06-1-A</v>
      </c>
      <c r="E38" s="28">
        <v>15712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22">
        <v>41918</v>
      </c>
      <c r="B39" s="7">
        <v>1</v>
      </c>
      <c r="C39" s="7" t="s">
        <v>17</v>
      </c>
      <c r="D39" s="7" t="str">
        <f t="shared" si="0"/>
        <v>2014-10-06-1-B</v>
      </c>
      <c r="E39" s="28">
        <v>16915.400000000001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22">
        <v>41918</v>
      </c>
      <c r="B40" s="7">
        <v>2</v>
      </c>
      <c r="C40" s="7" t="s">
        <v>16</v>
      </c>
      <c r="D40" s="7" t="str">
        <f t="shared" si="0"/>
        <v>2014-10-06-2-A</v>
      </c>
      <c r="E40" s="28">
        <v>12247.400000000001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22">
        <v>41918</v>
      </c>
      <c r="B41" s="7">
        <v>2</v>
      </c>
      <c r="C41" s="7" t="s">
        <v>17</v>
      </c>
      <c r="D41" s="7" t="str">
        <f t="shared" si="0"/>
        <v>2014-10-06-2-B</v>
      </c>
      <c r="E41" s="28">
        <v>17936.300000000003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22">
        <v>41925</v>
      </c>
      <c r="B42" s="7">
        <v>1</v>
      </c>
      <c r="C42" s="7" t="s">
        <v>16</v>
      </c>
      <c r="D42" s="7" t="str">
        <f t="shared" si="0"/>
        <v>2014-10-13-1-A</v>
      </c>
      <c r="E42" s="28">
        <v>13727.6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22">
        <v>41925</v>
      </c>
      <c r="B43" s="7">
        <v>1</v>
      </c>
      <c r="C43" s="7" t="s">
        <v>17</v>
      </c>
      <c r="D43" s="7" t="str">
        <f t="shared" si="0"/>
        <v>2014-10-13-1-B</v>
      </c>
      <c r="E43" s="28">
        <v>17015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22">
        <v>41925</v>
      </c>
      <c r="B44" s="7">
        <v>2</v>
      </c>
      <c r="C44" s="7" t="s">
        <v>16</v>
      </c>
      <c r="D44" s="7" t="str">
        <f t="shared" si="0"/>
        <v>2014-10-13-2-A</v>
      </c>
      <c r="E44" s="28">
        <v>11606.400000000001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22">
        <v>41925</v>
      </c>
      <c r="B45" s="7">
        <v>2</v>
      </c>
      <c r="C45" s="7" t="s">
        <v>17</v>
      </c>
      <c r="D45" s="7" t="str">
        <f t="shared" si="0"/>
        <v>2014-10-13-2-B</v>
      </c>
      <c r="E45" s="28">
        <v>18085.7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22">
        <v>41932</v>
      </c>
      <c r="B46" s="7">
        <v>1</v>
      </c>
      <c r="C46" s="7" t="s">
        <v>16</v>
      </c>
      <c r="D46" s="7" t="str">
        <f t="shared" si="0"/>
        <v>2014-10-20-1-A</v>
      </c>
      <c r="E46" s="28">
        <v>15927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22">
        <v>41932</v>
      </c>
      <c r="B47" s="7">
        <v>1</v>
      </c>
      <c r="C47" s="7" t="s">
        <v>17</v>
      </c>
      <c r="D47" s="7" t="str">
        <f t="shared" si="0"/>
        <v>2014-10-20-1-B</v>
      </c>
      <c r="E47" s="28">
        <v>15687.000000000002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22">
        <v>41932</v>
      </c>
      <c r="B48" s="7">
        <v>2</v>
      </c>
      <c r="C48" s="7" t="s">
        <v>16</v>
      </c>
      <c r="D48" s="7" t="str">
        <f t="shared" si="0"/>
        <v>2014-10-20-2-A</v>
      </c>
      <c r="E48" s="28">
        <v>14049.400000000001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22">
        <v>41932</v>
      </c>
      <c r="B49" s="7">
        <v>2</v>
      </c>
      <c r="C49" s="7" t="s">
        <v>17</v>
      </c>
      <c r="D49" s="7" t="str">
        <f t="shared" si="0"/>
        <v>2014-10-20-2-B</v>
      </c>
      <c r="E49" s="28">
        <v>21065.4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22">
        <v>41939</v>
      </c>
      <c r="B50" s="7">
        <v>1</v>
      </c>
      <c r="C50" s="7" t="s">
        <v>16</v>
      </c>
      <c r="D50" s="7" t="str">
        <f t="shared" si="0"/>
        <v>2014-10-27-1-A</v>
      </c>
      <c r="E50" s="28">
        <v>13166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22">
        <v>41939</v>
      </c>
      <c r="B51" s="7">
        <v>1</v>
      </c>
      <c r="C51" s="7" t="s">
        <v>17</v>
      </c>
      <c r="D51" s="7" t="str">
        <f t="shared" si="0"/>
        <v>2014-10-27-1-B</v>
      </c>
      <c r="E51" s="28">
        <v>17313.800000000003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22">
        <v>41939</v>
      </c>
      <c r="B52" s="7">
        <v>2</v>
      </c>
      <c r="C52" s="7" t="s">
        <v>16</v>
      </c>
      <c r="D52" s="7" t="str">
        <f t="shared" si="0"/>
        <v>2014-10-27-2-A</v>
      </c>
      <c r="E52" s="28">
        <v>9325.2000000000007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22">
        <v>41939</v>
      </c>
      <c r="B53" s="7">
        <v>2</v>
      </c>
      <c r="C53" s="7" t="s">
        <v>17</v>
      </c>
      <c r="D53" s="7" t="str">
        <f t="shared" si="0"/>
        <v>2014-10-27-2-B</v>
      </c>
      <c r="E53" s="28">
        <v>23513.9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22">
        <v>41946</v>
      </c>
      <c r="B54" s="7">
        <v>1</v>
      </c>
      <c r="C54" s="7" t="s">
        <v>16</v>
      </c>
      <c r="D54" s="7" t="str">
        <f t="shared" si="0"/>
        <v>2014-11-03-1-A</v>
      </c>
      <c r="E54" s="28">
        <v>14426.2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22">
        <v>41946</v>
      </c>
      <c r="B55" s="7">
        <v>1</v>
      </c>
      <c r="C55" s="7" t="s">
        <v>17</v>
      </c>
      <c r="D55" s="7" t="str">
        <f t="shared" si="0"/>
        <v>2014-11-03-1-B</v>
      </c>
      <c r="E55" s="28">
        <v>16317.800000000001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22">
        <v>41946</v>
      </c>
      <c r="B56" s="7">
        <v>2</v>
      </c>
      <c r="C56" s="7" t="s">
        <v>16</v>
      </c>
      <c r="D56" s="7" t="str">
        <f t="shared" si="0"/>
        <v>2014-11-03-2-A</v>
      </c>
      <c r="E56" s="28">
        <v>12604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22">
        <v>41946</v>
      </c>
      <c r="B57" s="7">
        <v>2</v>
      </c>
      <c r="C57" s="7" t="s">
        <v>17</v>
      </c>
      <c r="D57" s="7" t="str">
        <f t="shared" si="0"/>
        <v>2014-11-03-2-B</v>
      </c>
      <c r="E57" s="28">
        <v>19529.900000000001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22">
        <v>41953</v>
      </c>
      <c r="B58" s="7">
        <v>1</v>
      </c>
      <c r="C58" s="7" t="s">
        <v>16</v>
      </c>
      <c r="D58" s="7" t="str">
        <f t="shared" si="0"/>
        <v>2014-11-10-1-A</v>
      </c>
      <c r="E58" s="28">
        <v>18369.2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22">
        <v>41953</v>
      </c>
      <c r="B59" s="7">
        <v>1</v>
      </c>
      <c r="C59" s="7" t="s">
        <v>17</v>
      </c>
      <c r="D59" s="7" t="str">
        <f t="shared" si="0"/>
        <v>2014-11-10-1-B</v>
      </c>
      <c r="E59" s="28">
        <v>15562.500000000002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22">
        <v>41953</v>
      </c>
      <c r="B60" s="7">
        <v>2</v>
      </c>
      <c r="C60" s="7" t="s">
        <v>16</v>
      </c>
      <c r="D60" s="7" t="str">
        <f t="shared" si="0"/>
        <v>2014-11-10-2-A</v>
      </c>
      <c r="E60" s="28">
        <v>15840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22">
        <v>41953</v>
      </c>
      <c r="B61" s="7">
        <v>2</v>
      </c>
      <c r="C61" s="7" t="s">
        <v>17</v>
      </c>
      <c r="D61" s="7" t="str">
        <f t="shared" si="0"/>
        <v>2014-11-10-2-B</v>
      </c>
      <c r="E61" s="28">
        <v>20874.5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22">
        <v>41960</v>
      </c>
      <c r="B62" s="7">
        <v>1</v>
      </c>
      <c r="C62" s="7" t="s">
        <v>16</v>
      </c>
      <c r="D62" s="7" t="str">
        <f t="shared" si="0"/>
        <v>2014-11-17-1-A</v>
      </c>
      <c r="E62" s="28">
        <v>14727.2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22">
        <v>41960</v>
      </c>
      <c r="B63" s="7">
        <v>1</v>
      </c>
      <c r="C63" s="7" t="s">
        <v>17</v>
      </c>
      <c r="D63" s="7" t="str">
        <f t="shared" si="0"/>
        <v>2014-11-17-1-B</v>
      </c>
      <c r="E63" s="28">
        <v>14923.400000000001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22">
        <v>41960</v>
      </c>
      <c r="B64" s="7">
        <v>2</v>
      </c>
      <c r="C64" s="7" t="s">
        <v>16</v>
      </c>
      <c r="D64" s="7" t="str">
        <f t="shared" si="0"/>
        <v>2014-11-17-2-A</v>
      </c>
      <c r="E64" s="28">
        <v>13255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22">
        <v>41960</v>
      </c>
      <c r="B65" s="7">
        <v>2</v>
      </c>
      <c r="C65" s="7" t="s">
        <v>17</v>
      </c>
      <c r="D65" s="7" t="str">
        <f t="shared" si="0"/>
        <v>2014-11-17-2-B</v>
      </c>
      <c r="E65" s="28">
        <v>14989.800000000001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22">
        <v>41967</v>
      </c>
      <c r="B66" s="7">
        <v>1</v>
      </c>
      <c r="C66" s="7" t="s">
        <v>16</v>
      </c>
      <c r="D66" s="7" t="str">
        <f t="shared" si="0"/>
        <v>2014-11-24-1-A</v>
      </c>
      <c r="E66" s="28">
        <v>15463.800000000001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22">
        <v>41967</v>
      </c>
      <c r="B67" s="7">
        <v>1</v>
      </c>
      <c r="C67" s="7" t="s">
        <v>17</v>
      </c>
      <c r="D67" s="7" t="str">
        <f t="shared" si="0"/>
        <v>2014-11-24-1-B</v>
      </c>
      <c r="E67" s="28">
        <v>15994.100000000002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22">
        <v>41967</v>
      </c>
      <c r="B68" s="7">
        <v>2</v>
      </c>
      <c r="C68" s="7" t="s">
        <v>16</v>
      </c>
      <c r="D68" s="7" t="str">
        <f t="shared" si="0"/>
        <v>2014-11-24-2-A</v>
      </c>
      <c r="E68" s="28">
        <v>12482.2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22">
        <v>41967</v>
      </c>
      <c r="B69" s="7">
        <v>2</v>
      </c>
      <c r="C69" s="7" t="s">
        <v>17</v>
      </c>
      <c r="D69" s="7" t="str">
        <f t="shared" si="0"/>
        <v>2014-11-24-2-B</v>
      </c>
      <c r="E69" s="28">
        <v>16600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22">
        <v>41974</v>
      </c>
      <c r="B70" s="7">
        <v>1</v>
      </c>
      <c r="C70" s="7" t="s">
        <v>16</v>
      </c>
      <c r="D70" s="7" t="str">
        <f t="shared" si="0"/>
        <v>2014-12-01-1-A</v>
      </c>
      <c r="E70" s="28">
        <v>16962.2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22">
        <v>41974</v>
      </c>
      <c r="B71" s="7">
        <v>1</v>
      </c>
      <c r="C71" s="7" t="s">
        <v>17</v>
      </c>
      <c r="D71" s="7" t="str">
        <f t="shared" si="0"/>
        <v>2014-12-01-1-B</v>
      </c>
      <c r="E71" s="28">
        <v>15886.2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22">
        <v>41974</v>
      </c>
      <c r="B72" s="7">
        <v>2</v>
      </c>
      <c r="C72" s="7" t="s">
        <v>16</v>
      </c>
      <c r="D72" s="7" t="str">
        <f t="shared" si="0"/>
        <v>2014-12-01-2-A</v>
      </c>
      <c r="E72" s="28">
        <v>16274.800000000001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22">
        <v>41974</v>
      </c>
      <c r="B73" s="7">
        <v>2</v>
      </c>
      <c r="C73" s="7" t="s">
        <v>17</v>
      </c>
      <c r="D73" s="7" t="str">
        <f t="shared" si="0"/>
        <v>2014-12-01-2-B</v>
      </c>
      <c r="E73" s="28">
        <v>18907.400000000001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22">
        <v>41981</v>
      </c>
      <c r="B74" s="7">
        <v>1</v>
      </c>
      <c r="C74" s="7" t="s">
        <v>16</v>
      </c>
      <c r="D74" s="7" t="str">
        <f t="shared" si="0"/>
        <v>2014-12-08-1-A</v>
      </c>
      <c r="E74" s="28">
        <v>15174.2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22">
        <v>41981</v>
      </c>
      <c r="B75" s="7">
        <v>1</v>
      </c>
      <c r="C75" s="7" t="s">
        <v>17</v>
      </c>
      <c r="D75" s="7" t="str">
        <f t="shared" si="0"/>
        <v>2014-12-08-1-B</v>
      </c>
      <c r="E75" s="28">
        <v>14823.800000000001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22">
        <v>41981</v>
      </c>
      <c r="B76" s="7">
        <v>2</v>
      </c>
      <c r="C76" s="7" t="s">
        <v>16</v>
      </c>
      <c r="D76" s="7" t="str">
        <f t="shared" si="0"/>
        <v>2014-12-08-2-A</v>
      </c>
      <c r="E76" s="28">
        <v>12098.2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22">
        <v>41981</v>
      </c>
      <c r="B77" s="7">
        <v>2</v>
      </c>
      <c r="C77" s="7" t="s">
        <v>17</v>
      </c>
      <c r="D77" s="7" t="str">
        <f t="shared" si="0"/>
        <v>2014-12-08-2-B</v>
      </c>
      <c r="E77" s="28">
        <v>19803.800000000003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22">
        <v>41988</v>
      </c>
      <c r="B78" s="7">
        <v>1</v>
      </c>
      <c r="C78" s="7" t="s">
        <v>16</v>
      </c>
      <c r="D78" s="7" t="str">
        <f t="shared" si="0"/>
        <v>2014-12-15-1-A</v>
      </c>
      <c r="E78" s="28">
        <v>17100.600000000002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22">
        <v>41988</v>
      </c>
      <c r="B79" s="7">
        <v>1</v>
      </c>
      <c r="C79" s="7" t="s">
        <v>17</v>
      </c>
      <c r="D79" s="7" t="str">
        <f t="shared" si="0"/>
        <v>2014-12-15-1-B</v>
      </c>
      <c r="E79" s="28">
        <v>17064.800000000003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22">
        <v>41988</v>
      </c>
      <c r="B80" s="7">
        <v>2</v>
      </c>
      <c r="C80" s="7" t="s">
        <v>16</v>
      </c>
      <c r="D80" s="7" t="str">
        <f t="shared" si="0"/>
        <v>2014-12-15-2-A</v>
      </c>
      <c r="E80" s="28">
        <v>14449.6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22">
        <v>41988</v>
      </c>
      <c r="B81" s="7">
        <v>2</v>
      </c>
      <c r="C81" s="7" t="s">
        <v>17</v>
      </c>
      <c r="D81" s="7" t="str">
        <f t="shared" si="0"/>
        <v>2014-12-15-2-B</v>
      </c>
      <c r="E81" s="28">
        <v>18185.300000000003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22">
        <v>41995</v>
      </c>
      <c r="B82" s="7">
        <v>1</v>
      </c>
      <c r="C82" s="7" t="s">
        <v>16</v>
      </c>
      <c r="D82" s="7" t="str">
        <f t="shared" si="0"/>
        <v>2014-12-22-1-A</v>
      </c>
      <c r="E82" s="28">
        <v>16616.599999999999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22">
        <v>41995</v>
      </c>
      <c r="B83" s="7">
        <v>1</v>
      </c>
      <c r="C83" s="7" t="s">
        <v>17</v>
      </c>
      <c r="D83" s="7" t="str">
        <f t="shared" si="0"/>
        <v>2014-12-22-1-B</v>
      </c>
      <c r="E83" s="28">
        <v>17579.400000000001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22">
        <v>41995</v>
      </c>
      <c r="B84" s="7">
        <v>2</v>
      </c>
      <c r="C84" s="7" t="s">
        <v>16</v>
      </c>
      <c r="D84" s="7" t="str">
        <f t="shared" si="0"/>
        <v>2014-12-22-2-A</v>
      </c>
      <c r="E84" s="28">
        <v>16339.2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22">
        <v>41995</v>
      </c>
      <c r="B85" s="7">
        <v>2</v>
      </c>
      <c r="C85" s="7" t="s">
        <v>17</v>
      </c>
      <c r="D85" s="7" t="str">
        <f t="shared" si="0"/>
        <v>2014-12-22-2-B</v>
      </c>
      <c r="E85" s="28">
        <v>21430.600000000002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22">
        <v>42002</v>
      </c>
      <c r="B86" s="7">
        <v>1</v>
      </c>
      <c r="C86" s="7" t="s">
        <v>16</v>
      </c>
      <c r="D86" s="7" t="str">
        <f t="shared" si="0"/>
        <v>2014-12-29-1-A</v>
      </c>
      <c r="E86" s="28">
        <v>19059.599999999999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22">
        <v>42002</v>
      </c>
      <c r="B87" s="7">
        <v>1</v>
      </c>
      <c r="C87" s="7" t="s">
        <v>17</v>
      </c>
      <c r="D87" s="7" t="str">
        <f t="shared" si="0"/>
        <v>2014-12-29-1-B</v>
      </c>
      <c r="E87" s="28">
        <v>17446.600000000002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22">
        <v>42002</v>
      </c>
      <c r="B88" s="7">
        <v>2</v>
      </c>
      <c r="C88" s="7" t="s">
        <v>16</v>
      </c>
      <c r="D88" s="7" t="str">
        <f t="shared" si="0"/>
        <v>2014-12-29-2-A</v>
      </c>
      <c r="E88" s="28">
        <v>18894.400000000001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22">
        <v>42002</v>
      </c>
      <c r="B89" s="7">
        <v>2</v>
      </c>
      <c r="C89" s="7" t="s">
        <v>17</v>
      </c>
      <c r="D89" s="7" t="str">
        <f t="shared" si="0"/>
        <v>2014-12-29-2-B</v>
      </c>
      <c r="E89" s="28">
        <v>23696.500000000004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22">
        <v>42009</v>
      </c>
      <c r="B90" s="7">
        <v>1</v>
      </c>
      <c r="C90" s="7" t="s">
        <v>16</v>
      </c>
      <c r="D90" s="7" t="str">
        <f t="shared" si="0"/>
        <v>2015-01-05-1-A</v>
      </c>
      <c r="E90" s="28">
        <v>17004.400000000001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22">
        <v>42009</v>
      </c>
      <c r="B91" s="7">
        <v>1</v>
      </c>
      <c r="C91" s="7" t="s">
        <v>17</v>
      </c>
      <c r="D91" s="7" t="str">
        <f t="shared" si="0"/>
        <v>2015-01-05-1-B</v>
      </c>
      <c r="E91" s="28">
        <v>19339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22">
        <v>42009</v>
      </c>
      <c r="B92" s="7">
        <v>2</v>
      </c>
      <c r="C92" s="7" t="s">
        <v>16</v>
      </c>
      <c r="D92" s="7" t="str">
        <f t="shared" si="0"/>
        <v>2015-01-05-2-A</v>
      </c>
      <c r="E92" s="28">
        <v>14337.4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22">
        <v>42009</v>
      </c>
      <c r="B93" s="7">
        <v>2</v>
      </c>
      <c r="C93" s="7" t="s">
        <v>17</v>
      </c>
      <c r="D93" s="7" t="str">
        <f t="shared" si="0"/>
        <v>2015-01-05-2-B</v>
      </c>
      <c r="E93" s="28">
        <v>24053.4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22">
        <v>42016</v>
      </c>
      <c r="B94" s="7">
        <v>1</v>
      </c>
      <c r="C94" s="7" t="s">
        <v>16</v>
      </c>
      <c r="D94" s="7" t="str">
        <f t="shared" si="0"/>
        <v>2015-01-12-1-A</v>
      </c>
      <c r="E94" s="28">
        <v>13920.2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22">
        <v>42016</v>
      </c>
      <c r="B95" s="7">
        <v>1</v>
      </c>
      <c r="C95" s="7" t="s">
        <v>17</v>
      </c>
      <c r="D95" s="7" t="str">
        <f t="shared" si="0"/>
        <v>2015-01-12-1-B</v>
      </c>
      <c r="E95" s="28">
        <v>14558.2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22">
        <v>42016</v>
      </c>
      <c r="B96" s="7">
        <v>2</v>
      </c>
      <c r="C96" s="7" t="s">
        <v>16</v>
      </c>
      <c r="D96" s="7" t="str">
        <f t="shared" si="0"/>
        <v>2015-01-12-2-A</v>
      </c>
      <c r="E96" s="28">
        <v>10744.8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22">
        <v>42016</v>
      </c>
      <c r="B97" s="7">
        <v>2</v>
      </c>
      <c r="C97" s="7" t="s">
        <v>17</v>
      </c>
      <c r="D97" s="7" t="str">
        <f t="shared" si="0"/>
        <v>2015-01-12-2-B</v>
      </c>
      <c r="E97" s="28">
        <v>14458.6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22">
        <v>42023</v>
      </c>
      <c r="B98" s="7">
        <v>1</v>
      </c>
      <c r="C98" s="7" t="s">
        <v>16</v>
      </c>
      <c r="D98" s="7" t="str">
        <f t="shared" si="0"/>
        <v>2015-01-19-1-A</v>
      </c>
      <c r="E98" s="28">
        <v>14616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22">
        <v>42023</v>
      </c>
      <c r="B99" s="7">
        <v>1</v>
      </c>
      <c r="C99" s="7" t="s">
        <v>17</v>
      </c>
      <c r="D99" s="7" t="str">
        <f t="shared" si="0"/>
        <v>2015-01-19-1-B</v>
      </c>
      <c r="E99" s="28">
        <v>12566.2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">
      <c r="A100" s="22">
        <v>42023</v>
      </c>
      <c r="B100" s="7">
        <v>2</v>
      </c>
      <c r="C100" s="7" t="s">
        <v>16</v>
      </c>
      <c r="D100" s="7" t="str">
        <f t="shared" si="0"/>
        <v>2015-01-19-2-A</v>
      </c>
      <c r="E100" s="28">
        <v>11748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22">
        <v>42023</v>
      </c>
      <c r="B101" s="7">
        <v>2</v>
      </c>
      <c r="C101" s="7" t="s">
        <v>17</v>
      </c>
      <c r="D101" s="7" t="str">
        <f t="shared" si="0"/>
        <v>2015-01-19-2-B</v>
      </c>
      <c r="E101" s="28">
        <v>16375.900000000001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22">
        <v>42030</v>
      </c>
      <c r="B102" s="7">
        <v>1</v>
      </c>
      <c r="C102" s="7" t="s">
        <v>16</v>
      </c>
      <c r="D102" s="7" t="str">
        <f t="shared" si="0"/>
        <v>2015-01-26-1-A</v>
      </c>
      <c r="E102" s="28">
        <v>16293.4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22">
        <v>42030</v>
      </c>
      <c r="B103" s="7">
        <v>1</v>
      </c>
      <c r="C103" s="7" t="s">
        <v>17</v>
      </c>
      <c r="D103" s="7" t="str">
        <f t="shared" si="0"/>
        <v>2015-01-26-1-B</v>
      </c>
      <c r="E103" s="28">
        <v>14458.6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22">
        <v>42030</v>
      </c>
      <c r="B104" s="7">
        <v>2</v>
      </c>
      <c r="C104" s="7" t="s">
        <v>16</v>
      </c>
      <c r="D104" s="7" t="str">
        <f t="shared" si="0"/>
        <v>2015-01-26-2-A</v>
      </c>
      <c r="E104" s="28">
        <v>14267.2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22">
        <v>42030</v>
      </c>
      <c r="B105" s="7">
        <v>2</v>
      </c>
      <c r="C105" s="7" t="s">
        <v>17</v>
      </c>
      <c r="D105" s="7" t="str">
        <f t="shared" si="0"/>
        <v>2015-01-26-2-B</v>
      </c>
      <c r="E105" s="28">
        <v>19181.300000000003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22">
        <v>42037</v>
      </c>
      <c r="B106" s="7">
        <v>1</v>
      </c>
      <c r="C106" s="7" t="s">
        <v>16</v>
      </c>
      <c r="D106" s="7" t="str">
        <f t="shared" si="0"/>
        <v>2015-02-02-1-A</v>
      </c>
      <c r="E106" s="28">
        <v>15571.600000000002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22">
        <v>42037</v>
      </c>
      <c r="B107" s="7">
        <v>1</v>
      </c>
      <c r="C107" s="7" t="s">
        <v>17</v>
      </c>
      <c r="D107" s="7" t="str">
        <f t="shared" si="0"/>
        <v>2015-02-02-1-B</v>
      </c>
      <c r="E107" s="28">
        <v>16359.300000000001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22">
        <v>42037</v>
      </c>
      <c r="B108" s="7">
        <v>2</v>
      </c>
      <c r="C108" s="7" t="s">
        <v>16</v>
      </c>
      <c r="D108" s="7" t="str">
        <f t="shared" si="0"/>
        <v>2015-02-02-2-A</v>
      </c>
      <c r="E108" s="28">
        <v>13776.2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22">
        <v>42037</v>
      </c>
      <c r="B109" s="7">
        <v>2</v>
      </c>
      <c r="C109" s="7" t="s">
        <v>17</v>
      </c>
      <c r="D109" s="7" t="str">
        <f t="shared" si="0"/>
        <v>2015-02-02-2-B</v>
      </c>
      <c r="E109" s="28">
        <v>17139.5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22">
        <v>42044</v>
      </c>
      <c r="B110" s="7">
        <v>1</v>
      </c>
      <c r="C110" s="7" t="s">
        <v>16</v>
      </c>
      <c r="D110" s="7" t="str">
        <f t="shared" si="0"/>
        <v>2015-02-09-1-A</v>
      </c>
      <c r="E110" s="28">
        <v>17411.2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22">
        <v>42044</v>
      </c>
      <c r="B111" s="7">
        <v>1</v>
      </c>
      <c r="C111" s="7" t="s">
        <v>17</v>
      </c>
      <c r="D111" s="7" t="str">
        <f t="shared" si="0"/>
        <v>2015-02-09-1-B</v>
      </c>
      <c r="E111" s="28">
        <v>18044.2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22">
        <v>42044</v>
      </c>
      <c r="B112" s="7">
        <v>2</v>
      </c>
      <c r="C112" s="7" t="s">
        <v>16</v>
      </c>
      <c r="D112" s="7" t="str">
        <f t="shared" si="0"/>
        <v>2015-02-09-2-A</v>
      </c>
      <c r="E112" s="28">
        <v>16048.6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22">
        <v>42044</v>
      </c>
      <c r="B113" s="7">
        <v>2</v>
      </c>
      <c r="C113" s="7" t="s">
        <v>17</v>
      </c>
      <c r="D113" s="7" t="str">
        <f t="shared" si="0"/>
        <v>2015-02-09-2-B</v>
      </c>
      <c r="E113" s="28">
        <v>22152.7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22">
        <v>42051</v>
      </c>
      <c r="B114" s="7">
        <v>1</v>
      </c>
      <c r="C114" s="7" t="s">
        <v>16</v>
      </c>
      <c r="D114" s="7" t="str">
        <f t="shared" si="0"/>
        <v>2015-02-16-1-A</v>
      </c>
      <c r="E114" s="28">
        <v>14962.600000000002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22">
        <v>42051</v>
      </c>
      <c r="B115" s="7">
        <v>1</v>
      </c>
      <c r="C115" s="7" t="s">
        <v>17</v>
      </c>
      <c r="D115" s="7" t="str">
        <f t="shared" si="0"/>
        <v>2015-02-16-1-B</v>
      </c>
      <c r="E115" s="28">
        <v>19405.400000000001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22">
        <v>42051</v>
      </c>
      <c r="B116" s="7">
        <v>2</v>
      </c>
      <c r="C116" s="7" t="s">
        <v>16</v>
      </c>
      <c r="D116" s="7" t="str">
        <f t="shared" si="0"/>
        <v>2015-02-16-2-A</v>
      </c>
      <c r="E116" s="28">
        <v>12726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22">
        <v>42051</v>
      </c>
      <c r="B117" s="7">
        <v>2</v>
      </c>
      <c r="C117" s="7" t="s">
        <v>17</v>
      </c>
      <c r="D117" s="7" t="str">
        <f t="shared" si="0"/>
        <v>2015-02-16-2-B</v>
      </c>
      <c r="E117" s="28">
        <v>26609.800000000003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22">
        <v>42058</v>
      </c>
      <c r="B118" s="7">
        <v>1</v>
      </c>
      <c r="C118" s="7" t="s">
        <v>16</v>
      </c>
      <c r="D118" s="7" t="str">
        <f t="shared" si="0"/>
        <v>2015-02-23-1-A</v>
      </c>
      <c r="E118" s="28">
        <v>15277.800000000001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22">
        <v>42058</v>
      </c>
      <c r="B119" s="7">
        <v>1</v>
      </c>
      <c r="C119" s="7" t="s">
        <v>17</v>
      </c>
      <c r="D119" s="7" t="str">
        <f t="shared" si="0"/>
        <v>2015-02-23-1-B</v>
      </c>
      <c r="E119" s="28">
        <v>17181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22">
        <v>42058</v>
      </c>
      <c r="B120" s="7">
        <v>2</v>
      </c>
      <c r="C120" s="7" t="s">
        <v>16</v>
      </c>
      <c r="D120" s="7" t="str">
        <f t="shared" si="0"/>
        <v>2015-02-23-2-A</v>
      </c>
      <c r="E120" s="28">
        <v>11165.6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22">
        <v>42058</v>
      </c>
      <c r="B121" s="7">
        <v>2</v>
      </c>
      <c r="C121" s="7" t="s">
        <v>17</v>
      </c>
      <c r="D121" s="7" t="str">
        <f t="shared" si="0"/>
        <v>2015-02-23-2-B</v>
      </c>
      <c r="E121" s="28">
        <v>20866.2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22">
        <v>42065</v>
      </c>
      <c r="B122" s="7">
        <v>1</v>
      </c>
      <c r="C122" s="7" t="s">
        <v>16</v>
      </c>
      <c r="D122" s="7" t="str">
        <f t="shared" si="0"/>
        <v>2015-03-02-1-A</v>
      </c>
      <c r="E122" s="28">
        <v>15508.800000000001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22">
        <v>42065</v>
      </c>
      <c r="B123" s="7">
        <v>1</v>
      </c>
      <c r="C123" s="7" t="s">
        <v>17</v>
      </c>
      <c r="D123" s="7" t="str">
        <f t="shared" si="0"/>
        <v>2015-03-02-1-B</v>
      </c>
      <c r="E123" s="28">
        <v>18932.300000000003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22">
        <v>42065</v>
      </c>
      <c r="B124" s="7">
        <v>2</v>
      </c>
      <c r="C124" s="7" t="s">
        <v>16</v>
      </c>
      <c r="D124" s="7" t="str">
        <f t="shared" si="0"/>
        <v>2015-03-02-2-A</v>
      </c>
      <c r="E124" s="28">
        <v>12180.8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22">
        <v>42065</v>
      </c>
      <c r="B125" s="7">
        <v>2</v>
      </c>
      <c r="C125" s="7" t="s">
        <v>17</v>
      </c>
      <c r="D125" s="7" t="str">
        <f t="shared" si="0"/>
        <v>2015-03-02-2-B</v>
      </c>
      <c r="E125" s="28">
        <v>25937.500000000004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22">
        <v>42072</v>
      </c>
      <c r="B126" s="7">
        <v>1</v>
      </c>
      <c r="C126" s="7" t="s">
        <v>16</v>
      </c>
      <c r="D126" s="7" t="str">
        <f t="shared" si="0"/>
        <v>2015-03-09-1-A</v>
      </c>
      <c r="E126" s="28">
        <v>20751.400000000001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22">
        <v>42072</v>
      </c>
      <c r="B127" s="7">
        <v>1</v>
      </c>
      <c r="C127" s="7" t="s">
        <v>17</v>
      </c>
      <c r="D127" s="7" t="str">
        <f t="shared" si="0"/>
        <v>2015-03-09-1-B</v>
      </c>
      <c r="E127" s="28">
        <v>15072.800000000001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22">
        <v>42072</v>
      </c>
      <c r="B128" s="7">
        <v>2</v>
      </c>
      <c r="C128" s="7" t="s">
        <v>16</v>
      </c>
      <c r="D128" s="7" t="str">
        <f t="shared" si="0"/>
        <v>2015-03-09-2-A</v>
      </c>
      <c r="E128" s="28">
        <v>18528.2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22">
        <v>42072</v>
      </c>
      <c r="B129" s="7">
        <v>2</v>
      </c>
      <c r="C129" s="7" t="s">
        <v>17</v>
      </c>
      <c r="D129" s="7" t="str">
        <f t="shared" si="0"/>
        <v>2015-03-09-2-B</v>
      </c>
      <c r="E129" s="28">
        <v>17645.800000000003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22">
        <v>42079</v>
      </c>
      <c r="B130" s="7">
        <v>1</v>
      </c>
      <c r="C130" s="7" t="s">
        <v>16</v>
      </c>
      <c r="D130" s="7" t="str">
        <f t="shared" si="0"/>
        <v>2015-03-16-1-A</v>
      </c>
      <c r="E130" s="28">
        <v>16917.2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22">
        <v>42079</v>
      </c>
      <c r="B131" s="7">
        <v>1</v>
      </c>
      <c r="C131" s="7" t="s">
        <v>17</v>
      </c>
      <c r="D131" s="7" t="str">
        <f t="shared" si="0"/>
        <v>2015-03-16-1-B</v>
      </c>
      <c r="E131" s="28">
        <v>16832.400000000001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22">
        <v>42079</v>
      </c>
      <c r="B132" s="7">
        <v>2</v>
      </c>
      <c r="C132" s="7" t="s">
        <v>16</v>
      </c>
      <c r="D132" s="7" t="str">
        <f t="shared" si="0"/>
        <v>2015-03-16-2-A</v>
      </c>
      <c r="E132" s="28">
        <v>15233.600000000002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22">
        <v>42079</v>
      </c>
      <c r="B133" s="7">
        <v>2</v>
      </c>
      <c r="C133" s="7" t="s">
        <v>17</v>
      </c>
      <c r="D133" s="7" t="str">
        <f t="shared" si="0"/>
        <v>2015-03-16-2-B</v>
      </c>
      <c r="E133" s="28">
        <v>22758.600000000002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22">
        <v>42086</v>
      </c>
      <c r="B134" s="7">
        <v>1</v>
      </c>
      <c r="C134" s="7" t="s">
        <v>16</v>
      </c>
      <c r="D134" s="7" t="str">
        <f t="shared" si="0"/>
        <v>2015-03-23-1-A</v>
      </c>
      <c r="E134" s="28">
        <v>15196.400000000001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22">
        <v>42086</v>
      </c>
      <c r="B135" s="7">
        <v>1</v>
      </c>
      <c r="C135" s="7" t="s">
        <v>17</v>
      </c>
      <c r="D135" s="7" t="str">
        <f t="shared" si="0"/>
        <v>2015-03-23-1-B</v>
      </c>
      <c r="E135" s="28">
        <v>19280.900000000001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22">
        <v>42086</v>
      </c>
      <c r="B136" s="7">
        <v>2</v>
      </c>
      <c r="C136" s="7" t="s">
        <v>16</v>
      </c>
      <c r="D136" s="7" t="str">
        <f t="shared" si="0"/>
        <v>2015-03-23-2-A</v>
      </c>
      <c r="E136" s="28">
        <v>14309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22">
        <v>42086</v>
      </c>
      <c r="B137" s="7">
        <v>2</v>
      </c>
      <c r="C137" s="7" t="s">
        <v>17</v>
      </c>
      <c r="D137" s="7" t="str">
        <f t="shared" si="0"/>
        <v>2015-03-23-2-B</v>
      </c>
      <c r="E137" s="28">
        <v>24003.600000000002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22">
        <v>42093</v>
      </c>
      <c r="B138" s="7">
        <v>1</v>
      </c>
      <c r="C138" s="7" t="s">
        <v>16</v>
      </c>
      <c r="D138" s="7" t="str">
        <f t="shared" si="0"/>
        <v>2015-03-30-1-A</v>
      </c>
      <c r="E138" s="28">
        <v>16454.400000000001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22">
        <v>42093</v>
      </c>
      <c r="B139" s="7">
        <v>1</v>
      </c>
      <c r="C139" s="7" t="s">
        <v>17</v>
      </c>
      <c r="D139" s="7" t="str">
        <f t="shared" si="0"/>
        <v>2015-03-30-1-B</v>
      </c>
      <c r="E139" s="28">
        <v>18044.2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22">
        <v>42093</v>
      </c>
      <c r="B140" s="7">
        <v>2</v>
      </c>
      <c r="C140" s="7" t="s">
        <v>16</v>
      </c>
      <c r="D140" s="7" t="str">
        <f t="shared" si="0"/>
        <v>2015-03-30-2-A</v>
      </c>
      <c r="E140" s="28">
        <v>14041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22">
        <v>42093</v>
      </c>
      <c r="B141" s="7">
        <v>2</v>
      </c>
      <c r="C141" s="7" t="s">
        <v>17</v>
      </c>
      <c r="D141" s="7" t="str">
        <f t="shared" si="0"/>
        <v>2015-03-30-2-B</v>
      </c>
      <c r="E141" s="28">
        <v>24609.500000000004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22">
        <v>42100</v>
      </c>
      <c r="B142" s="7">
        <v>1</v>
      </c>
      <c r="C142" s="7" t="s">
        <v>16</v>
      </c>
      <c r="D142" s="7" t="str">
        <f t="shared" si="0"/>
        <v>2015-04-06-1-A</v>
      </c>
      <c r="E142" s="28">
        <v>18254.599999999999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22">
        <v>42100</v>
      </c>
      <c r="B143" s="7">
        <v>1</v>
      </c>
      <c r="C143" s="7" t="s">
        <v>17</v>
      </c>
      <c r="D143" s="7" t="str">
        <f t="shared" si="0"/>
        <v>2015-04-06-1-B</v>
      </c>
      <c r="E143" s="28">
        <v>17986.100000000002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22">
        <v>42100</v>
      </c>
      <c r="B144" s="7">
        <v>2</v>
      </c>
      <c r="C144" s="7" t="s">
        <v>16</v>
      </c>
      <c r="D144" s="7" t="str">
        <f t="shared" si="0"/>
        <v>2015-04-06-2-A</v>
      </c>
      <c r="E144" s="28">
        <v>17404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22">
        <v>42100</v>
      </c>
      <c r="B145" s="7">
        <v>2</v>
      </c>
      <c r="C145" s="7" t="s">
        <v>17</v>
      </c>
      <c r="D145" s="7" t="str">
        <f t="shared" si="0"/>
        <v>2015-04-06-2-B</v>
      </c>
      <c r="E145" s="28">
        <v>24543.100000000002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22">
        <v>42107</v>
      </c>
      <c r="B146" s="7">
        <v>1</v>
      </c>
      <c r="C146" s="7" t="s">
        <v>16</v>
      </c>
      <c r="D146" s="7" t="str">
        <f t="shared" si="0"/>
        <v>2015-04-13-1-A</v>
      </c>
      <c r="E146" s="28">
        <v>17605.599999999999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22">
        <v>42107</v>
      </c>
      <c r="B147" s="7">
        <v>1</v>
      </c>
      <c r="C147" s="7" t="s">
        <v>17</v>
      </c>
      <c r="D147" s="7" t="str">
        <f t="shared" si="0"/>
        <v>2015-04-13-1-B</v>
      </c>
      <c r="E147" s="28">
        <v>17446.600000000002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22">
        <v>42107</v>
      </c>
      <c r="B148" s="7">
        <v>2</v>
      </c>
      <c r="C148" s="7" t="s">
        <v>16</v>
      </c>
      <c r="D148" s="7" t="str">
        <f t="shared" si="0"/>
        <v>2015-04-13-2-A</v>
      </c>
      <c r="E148" s="28">
        <v>15282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22">
        <v>42107</v>
      </c>
      <c r="B149" s="7">
        <v>2</v>
      </c>
      <c r="C149" s="7" t="s">
        <v>17</v>
      </c>
      <c r="D149" s="7" t="str">
        <f t="shared" si="0"/>
        <v>2015-04-13-2-B</v>
      </c>
      <c r="E149" s="28">
        <v>23704.800000000003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22">
        <v>42114</v>
      </c>
      <c r="B150" s="7">
        <v>1</v>
      </c>
      <c r="C150" s="7" t="s">
        <v>16</v>
      </c>
      <c r="D150" s="7" t="str">
        <f t="shared" si="0"/>
        <v>2015-04-20-1-A</v>
      </c>
      <c r="E150" s="28">
        <v>17450.2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22">
        <v>42114</v>
      </c>
      <c r="B151" s="7">
        <v>1</v>
      </c>
      <c r="C151" s="7" t="s">
        <v>17</v>
      </c>
      <c r="D151" s="7" t="str">
        <f t="shared" si="0"/>
        <v>2015-04-20-1-B</v>
      </c>
      <c r="E151" s="28">
        <v>17197.600000000002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22">
        <v>42114</v>
      </c>
      <c r="B152" s="7">
        <v>2</v>
      </c>
      <c r="C152" s="7" t="s">
        <v>16</v>
      </c>
      <c r="D152" s="7" t="str">
        <f t="shared" si="0"/>
        <v>2015-04-20-2-A</v>
      </c>
      <c r="E152" s="28">
        <v>16393.400000000001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22">
        <v>42114</v>
      </c>
      <c r="B153" s="7">
        <v>2</v>
      </c>
      <c r="C153" s="7" t="s">
        <v>17</v>
      </c>
      <c r="D153" s="7" t="str">
        <f t="shared" si="0"/>
        <v>2015-04-20-2-B</v>
      </c>
      <c r="E153" s="28">
        <v>23347.9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22">
        <v>42121</v>
      </c>
      <c r="B154" s="7">
        <v>1</v>
      </c>
      <c r="C154" s="7" t="s">
        <v>16</v>
      </c>
      <c r="D154" s="7" t="str">
        <f t="shared" si="0"/>
        <v>2015-04-27-1-A</v>
      </c>
      <c r="E154" s="28">
        <v>18222.400000000001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22">
        <v>42121</v>
      </c>
      <c r="B155" s="7">
        <v>1</v>
      </c>
      <c r="C155" s="7" t="s">
        <v>17</v>
      </c>
      <c r="D155" s="7" t="str">
        <f t="shared" si="0"/>
        <v>2015-04-27-1-B</v>
      </c>
      <c r="E155" s="28">
        <v>16757.7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22">
        <v>42121</v>
      </c>
      <c r="B156" s="7">
        <v>2</v>
      </c>
      <c r="C156" s="7" t="s">
        <v>16</v>
      </c>
      <c r="D156" s="7" t="str">
        <f t="shared" si="0"/>
        <v>2015-04-27-2-A</v>
      </c>
      <c r="E156" s="28">
        <v>14887.6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22">
        <v>42121</v>
      </c>
      <c r="B157" s="7">
        <v>2</v>
      </c>
      <c r="C157" s="7" t="s">
        <v>17</v>
      </c>
      <c r="D157" s="7" t="str">
        <f t="shared" si="0"/>
        <v>2015-04-27-2-B</v>
      </c>
      <c r="E157" s="28">
        <v>20210.5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22">
        <v>42128</v>
      </c>
      <c r="B158" s="7">
        <v>1</v>
      </c>
      <c r="C158" s="7" t="s">
        <v>16</v>
      </c>
      <c r="D158" s="7" t="str">
        <f t="shared" si="0"/>
        <v>2015-05-04-1-A</v>
      </c>
      <c r="E158" s="28">
        <v>17117.600000000002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22">
        <v>42128</v>
      </c>
      <c r="B159" s="7">
        <v>1</v>
      </c>
      <c r="C159" s="7" t="s">
        <v>17</v>
      </c>
      <c r="D159" s="7" t="str">
        <f t="shared" si="0"/>
        <v>2015-05-04-1-B</v>
      </c>
      <c r="E159" s="28">
        <v>20102.600000000002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22">
        <v>42128</v>
      </c>
      <c r="B160" s="7">
        <v>2</v>
      </c>
      <c r="C160" s="7" t="s">
        <v>16</v>
      </c>
      <c r="D160" s="7" t="str">
        <f t="shared" si="0"/>
        <v>2015-05-04-2-A</v>
      </c>
      <c r="E160" s="28">
        <v>15094.800000000001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22">
        <v>42128</v>
      </c>
      <c r="B161" s="7">
        <v>2</v>
      </c>
      <c r="C161" s="7" t="s">
        <v>17</v>
      </c>
      <c r="D161" s="7" t="str">
        <f t="shared" si="0"/>
        <v>2015-05-04-2-B</v>
      </c>
      <c r="E161" s="28">
        <v>22742.000000000004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22">
        <v>42135</v>
      </c>
      <c r="B162" s="7">
        <v>1</v>
      </c>
      <c r="C162" s="7" t="s">
        <v>16</v>
      </c>
      <c r="D162" s="7" t="str">
        <f t="shared" si="0"/>
        <v>2015-05-11-1-A</v>
      </c>
      <c r="E162" s="28">
        <v>19712.400000000001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22">
        <v>42135</v>
      </c>
      <c r="B163" s="7">
        <v>1</v>
      </c>
      <c r="C163" s="7" t="s">
        <v>17</v>
      </c>
      <c r="D163" s="7" t="str">
        <f t="shared" si="0"/>
        <v>2015-05-11-1-B</v>
      </c>
      <c r="E163" s="28">
        <v>20268.600000000002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22">
        <v>42135</v>
      </c>
      <c r="B164" s="7">
        <v>2</v>
      </c>
      <c r="C164" s="7" t="s">
        <v>16</v>
      </c>
      <c r="D164" s="7" t="str">
        <f t="shared" si="0"/>
        <v>2015-05-11-2-A</v>
      </c>
      <c r="E164" s="28">
        <v>17279.599999999999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22">
        <v>42135</v>
      </c>
      <c r="B165" s="7">
        <v>2</v>
      </c>
      <c r="C165" s="7" t="s">
        <v>17</v>
      </c>
      <c r="D165" s="7" t="str">
        <f t="shared" si="0"/>
        <v>2015-05-11-2-B</v>
      </c>
      <c r="E165" s="28">
        <v>25489.300000000003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22">
        <v>42142</v>
      </c>
      <c r="B166" s="7">
        <v>1</v>
      </c>
      <c r="C166" s="7" t="s">
        <v>16</v>
      </c>
      <c r="D166" s="7" t="str">
        <f t="shared" si="0"/>
        <v>2015-05-18-1-A</v>
      </c>
      <c r="E166" s="28">
        <v>19407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22">
        <v>42142</v>
      </c>
      <c r="B167" s="7">
        <v>1</v>
      </c>
      <c r="C167" s="7" t="s">
        <v>17</v>
      </c>
      <c r="D167" s="7" t="str">
        <f t="shared" si="0"/>
        <v>2015-05-18-1-B</v>
      </c>
      <c r="E167" s="28">
        <v>18268.300000000003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22">
        <v>42142</v>
      </c>
      <c r="B168" s="7">
        <v>2</v>
      </c>
      <c r="C168" s="7" t="s">
        <v>16</v>
      </c>
      <c r="D168" s="7" t="str">
        <f t="shared" si="0"/>
        <v>2015-05-18-2-A</v>
      </c>
      <c r="E168" s="28">
        <v>17909.2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22">
        <v>42142</v>
      </c>
      <c r="B169" s="7">
        <v>2</v>
      </c>
      <c r="C169" s="7" t="s">
        <v>17</v>
      </c>
      <c r="D169" s="7" t="str">
        <f t="shared" si="0"/>
        <v>2015-05-18-2-B</v>
      </c>
      <c r="E169" s="28">
        <v>24949.800000000003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22">
        <v>42149</v>
      </c>
      <c r="B170" s="7">
        <v>1</v>
      </c>
      <c r="C170" s="7" t="s">
        <v>16</v>
      </c>
      <c r="D170" s="7" t="str">
        <f t="shared" si="0"/>
        <v>2015-05-25-1-A</v>
      </c>
      <c r="E170" s="28">
        <v>18816.599999999999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22">
        <v>42149</v>
      </c>
      <c r="B171" s="7">
        <v>1</v>
      </c>
      <c r="C171" s="7" t="s">
        <v>17</v>
      </c>
      <c r="D171" s="7" t="str">
        <f t="shared" si="0"/>
        <v>2015-05-25-1-B</v>
      </c>
      <c r="E171" s="28">
        <v>18998.7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22">
        <v>42149</v>
      </c>
      <c r="B172" s="7">
        <v>2</v>
      </c>
      <c r="C172" s="7" t="s">
        <v>16</v>
      </c>
      <c r="D172" s="7" t="str">
        <f t="shared" si="0"/>
        <v>2015-05-25-2-A</v>
      </c>
      <c r="E172" s="28">
        <v>17556.2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22">
        <v>42149</v>
      </c>
      <c r="B173" s="7">
        <v>2</v>
      </c>
      <c r="C173" s="7" t="s">
        <v>17</v>
      </c>
      <c r="D173" s="7" t="str">
        <f t="shared" si="0"/>
        <v>2015-05-25-2-B</v>
      </c>
      <c r="E173" s="28">
        <v>26045.4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22">
        <v>42156</v>
      </c>
      <c r="B174" s="7">
        <v>1</v>
      </c>
      <c r="C174" s="7" t="s">
        <v>16</v>
      </c>
      <c r="D174" s="7" t="str">
        <f t="shared" si="0"/>
        <v>2015-06-01-1-A</v>
      </c>
      <c r="E174" s="28">
        <v>18608.2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22">
        <v>42156</v>
      </c>
      <c r="B175" s="7">
        <v>1</v>
      </c>
      <c r="C175" s="7" t="s">
        <v>17</v>
      </c>
      <c r="D175" s="7" t="str">
        <f t="shared" si="0"/>
        <v>2015-06-01-1-B</v>
      </c>
      <c r="E175" s="28">
        <v>19073.400000000001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22">
        <v>42156</v>
      </c>
      <c r="B176" s="7">
        <v>2</v>
      </c>
      <c r="C176" s="7" t="s">
        <v>16</v>
      </c>
      <c r="D176" s="7" t="str">
        <f t="shared" si="0"/>
        <v>2015-06-01-2-A</v>
      </c>
      <c r="E176" s="28">
        <v>16419.400000000001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22">
        <v>42156</v>
      </c>
      <c r="B177" s="7">
        <v>2</v>
      </c>
      <c r="C177" s="7" t="s">
        <v>17</v>
      </c>
      <c r="D177" s="7" t="str">
        <f t="shared" si="0"/>
        <v>2015-06-01-2-B</v>
      </c>
      <c r="E177" s="28">
        <v>26136.7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22">
        <v>42163</v>
      </c>
      <c r="B178" s="7">
        <v>1</v>
      </c>
      <c r="C178" s="7" t="s">
        <v>16</v>
      </c>
      <c r="D178" s="7" t="str">
        <f t="shared" si="0"/>
        <v>2015-06-08-1-A</v>
      </c>
      <c r="E178" s="28">
        <v>19102.400000000001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22">
        <v>42163</v>
      </c>
      <c r="B179" s="7">
        <v>1</v>
      </c>
      <c r="C179" s="7" t="s">
        <v>17</v>
      </c>
      <c r="D179" s="7" t="str">
        <f t="shared" si="0"/>
        <v>2015-06-08-1-B</v>
      </c>
      <c r="E179" s="28">
        <v>20882.800000000003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22">
        <v>42163</v>
      </c>
      <c r="B180" s="7">
        <v>2</v>
      </c>
      <c r="C180" s="7" t="s">
        <v>16</v>
      </c>
      <c r="D180" s="7" t="str">
        <f t="shared" si="0"/>
        <v>2015-06-08-2-A</v>
      </c>
      <c r="E180" s="28">
        <v>16488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22">
        <v>42163</v>
      </c>
      <c r="B181" s="7">
        <v>2</v>
      </c>
      <c r="C181" s="7" t="s">
        <v>17</v>
      </c>
      <c r="D181" s="7" t="str">
        <f t="shared" si="0"/>
        <v>2015-06-08-2-B</v>
      </c>
      <c r="E181" s="28">
        <v>28850.800000000003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22">
        <v>42170</v>
      </c>
      <c r="B182" s="7">
        <v>1</v>
      </c>
      <c r="C182" s="7" t="s">
        <v>16</v>
      </c>
      <c r="D182" s="7" t="str">
        <f t="shared" si="0"/>
        <v>2015-06-15-1-A</v>
      </c>
      <c r="E182" s="28">
        <v>19189.599999999999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22">
        <v>42170</v>
      </c>
      <c r="B183" s="7">
        <v>1</v>
      </c>
      <c r="C183" s="7" t="s">
        <v>17</v>
      </c>
      <c r="D183" s="7" t="str">
        <f t="shared" si="0"/>
        <v>2015-06-15-1-B</v>
      </c>
      <c r="E183" s="28">
        <v>17098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22">
        <v>42170</v>
      </c>
      <c r="B184" s="7">
        <v>2</v>
      </c>
      <c r="C184" s="7" t="s">
        <v>16</v>
      </c>
      <c r="D184" s="7" t="str">
        <f t="shared" si="0"/>
        <v>2015-06-15-2-A</v>
      </c>
      <c r="E184" s="28">
        <v>19103.599999999999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22">
        <v>42170</v>
      </c>
      <c r="B185" s="7">
        <v>2</v>
      </c>
      <c r="C185" s="7" t="s">
        <v>17</v>
      </c>
      <c r="D185" s="7" t="str">
        <f t="shared" si="0"/>
        <v>2015-06-15-2-B</v>
      </c>
      <c r="E185" s="28">
        <v>18235.100000000002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22">
        <v>42177</v>
      </c>
      <c r="B186" s="7">
        <v>1</v>
      </c>
      <c r="C186" s="7" t="s">
        <v>16</v>
      </c>
      <c r="D186" s="7" t="str">
        <f t="shared" si="0"/>
        <v>2015-06-22-1-A</v>
      </c>
      <c r="E186" s="28">
        <v>18378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22">
        <v>42177</v>
      </c>
      <c r="B187" s="7">
        <v>1</v>
      </c>
      <c r="C187" s="7" t="s">
        <v>17</v>
      </c>
      <c r="D187" s="7" t="str">
        <f t="shared" si="0"/>
        <v>2015-06-22-1-B</v>
      </c>
      <c r="E187" s="28">
        <v>20667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22">
        <v>42177</v>
      </c>
      <c r="B188" s="7">
        <v>2</v>
      </c>
      <c r="C188" s="7" t="s">
        <v>16</v>
      </c>
      <c r="D188" s="7" t="str">
        <f t="shared" si="0"/>
        <v>2015-06-22-2-A</v>
      </c>
      <c r="E188" s="28">
        <v>14710.8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22">
        <v>42177</v>
      </c>
      <c r="B189" s="7">
        <v>2</v>
      </c>
      <c r="C189" s="7" t="s">
        <v>17</v>
      </c>
      <c r="D189" s="7" t="str">
        <f t="shared" si="0"/>
        <v>2015-06-22-2-B</v>
      </c>
      <c r="E189" s="28">
        <v>23638.400000000001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22">
        <v>42184</v>
      </c>
      <c r="B190" s="7">
        <v>1</v>
      </c>
      <c r="C190" s="7" t="s">
        <v>16</v>
      </c>
      <c r="D190" s="7" t="str">
        <f t="shared" si="0"/>
        <v>2015-06-29-1-A</v>
      </c>
      <c r="E190" s="28">
        <v>20008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22">
        <v>42184</v>
      </c>
      <c r="B191" s="7">
        <v>1</v>
      </c>
      <c r="C191" s="7" t="s">
        <v>17</v>
      </c>
      <c r="D191" s="7" t="str">
        <f t="shared" si="0"/>
        <v>2015-06-29-1-B</v>
      </c>
      <c r="E191" s="28">
        <v>18102.300000000003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22">
        <v>42184</v>
      </c>
      <c r="B192" s="7">
        <v>2</v>
      </c>
      <c r="C192" s="7" t="s">
        <v>16</v>
      </c>
      <c r="D192" s="7" t="str">
        <f t="shared" si="0"/>
        <v>2015-06-29-2-A</v>
      </c>
      <c r="E192" s="28">
        <v>15684.800000000001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22">
        <v>42184</v>
      </c>
      <c r="B193" s="7">
        <v>2</v>
      </c>
      <c r="C193" s="7" t="s">
        <v>17</v>
      </c>
      <c r="D193" s="7" t="str">
        <f t="shared" si="0"/>
        <v>2015-06-29-2-B</v>
      </c>
      <c r="E193" s="28">
        <v>22268.9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22">
        <v>42191</v>
      </c>
      <c r="B194" s="7">
        <v>1</v>
      </c>
      <c r="C194" s="7" t="s">
        <v>16</v>
      </c>
      <c r="D194" s="7" t="str">
        <f t="shared" si="0"/>
        <v>2015-07-06-1-A</v>
      </c>
      <c r="E194" s="28">
        <v>20573.400000000001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22">
        <v>42191</v>
      </c>
      <c r="B195" s="7">
        <v>1</v>
      </c>
      <c r="C195" s="7" t="s">
        <v>17</v>
      </c>
      <c r="D195" s="7" t="str">
        <f t="shared" si="0"/>
        <v>2015-07-06-1-B</v>
      </c>
      <c r="E195" s="28">
        <v>20799.800000000003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22">
        <v>42191</v>
      </c>
      <c r="B196" s="7">
        <v>2</v>
      </c>
      <c r="C196" s="7" t="s">
        <v>16</v>
      </c>
      <c r="D196" s="7" t="str">
        <f t="shared" si="0"/>
        <v>2015-07-06-2-A</v>
      </c>
      <c r="E196" s="28">
        <v>18469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22">
        <v>42191</v>
      </c>
      <c r="B197" s="7">
        <v>2</v>
      </c>
      <c r="C197" s="7" t="s">
        <v>17</v>
      </c>
      <c r="D197" s="7" t="str">
        <f t="shared" si="0"/>
        <v>2015-07-06-2-B</v>
      </c>
      <c r="E197" s="28">
        <v>28751.200000000001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22">
        <v>42198</v>
      </c>
      <c r="B198" s="7">
        <v>1</v>
      </c>
      <c r="C198" s="7" t="s">
        <v>16</v>
      </c>
      <c r="D198" s="7" t="str">
        <f t="shared" si="0"/>
        <v>2015-07-13-1-A</v>
      </c>
      <c r="E198" s="28">
        <v>20666.800000000003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22">
        <v>42198</v>
      </c>
      <c r="B199" s="7">
        <v>1</v>
      </c>
      <c r="C199" s="7" t="s">
        <v>17</v>
      </c>
      <c r="D199" s="7" t="str">
        <f t="shared" si="0"/>
        <v>2015-07-13-1-B</v>
      </c>
      <c r="E199" s="28">
        <v>18708.2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22">
        <v>42198</v>
      </c>
      <c r="B200" s="7">
        <v>2</v>
      </c>
      <c r="C200" s="7" t="s">
        <v>16</v>
      </c>
      <c r="D200" s="7" t="str">
        <f t="shared" si="0"/>
        <v>2015-07-13-2-A</v>
      </c>
      <c r="E200" s="28">
        <v>17739.2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22">
        <v>42198</v>
      </c>
      <c r="B201" s="7">
        <v>2</v>
      </c>
      <c r="C201" s="7" t="s">
        <v>17</v>
      </c>
      <c r="D201" s="7" t="str">
        <f t="shared" si="0"/>
        <v>2015-07-13-2-B</v>
      </c>
      <c r="E201" s="28">
        <v>25597.200000000001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22">
        <v>42205</v>
      </c>
      <c r="B202" s="7">
        <v>1</v>
      </c>
      <c r="C202" s="7" t="s">
        <v>16</v>
      </c>
      <c r="D202" s="7" t="str">
        <f t="shared" si="0"/>
        <v>2015-07-20-1-A</v>
      </c>
      <c r="E202" s="28">
        <v>19372.2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22">
        <v>42205</v>
      </c>
      <c r="B203" s="7">
        <v>1</v>
      </c>
      <c r="C203" s="7" t="s">
        <v>17</v>
      </c>
      <c r="D203" s="7" t="str">
        <f t="shared" si="0"/>
        <v>2015-07-20-1-B</v>
      </c>
      <c r="E203" s="28">
        <v>18608.600000000002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22">
        <v>42205</v>
      </c>
      <c r="B204" s="7">
        <v>2</v>
      </c>
      <c r="C204" s="7" t="s">
        <v>16</v>
      </c>
      <c r="D204" s="7" t="str">
        <f t="shared" si="0"/>
        <v>2015-07-20-2-A</v>
      </c>
      <c r="E204" s="28">
        <v>17366.800000000003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22">
        <v>42205</v>
      </c>
      <c r="B205" s="7">
        <v>2</v>
      </c>
      <c r="C205" s="7" t="s">
        <v>17</v>
      </c>
      <c r="D205" s="7" t="str">
        <f t="shared" si="0"/>
        <v>2015-07-20-2-B</v>
      </c>
      <c r="E205" s="28">
        <v>22974.400000000001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22">
        <v>42212</v>
      </c>
      <c r="B206" s="7">
        <v>1</v>
      </c>
      <c r="C206" s="7" t="s">
        <v>16</v>
      </c>
      <c r="D206" s="7" t="str">
        <f t="shared" si="0"/>
        <v>2015-07-27-1-A</v>
      </c>
      <c r="E206" s="28">
        <v>18470.8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22">
        <v>42212</v>
      </c>
      <c r="B207" s="7">
        <v>1</v>
      </c>
      <c r="C207" s="7" t="s">
        <v>17</v>
      </c>
      <c r="D207" s="7" t="str">
        <f t="shared" si="0"/>
        <v>2015-07-27-1-B</v>
      </c>
      <c r="E207" s="28">
        <v>20891.100000000002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22">
        <v>42212</v>
      </c>
      <c r="B208" s="7">
        <v>2</v>
      </c>
      <c r="C208" s="7" t="s">
        <v>16</v>
      </c>
      <c r="D208" s="7" t="str">
        <f t="shared" si="0"/>
        <v>2015-07-27-2-A</v>
      </c>
      <c r="E208" s="28">
        <v>17474.400000000001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22">
        <v>42212</v>
      </c>
      <c r="B209" s="7">
        <v>2</v>
      </c>
      <c r="C209" s="7" t="s">
        <v>17</v>
      </c>
      <c r="D209" s="7" t="str">
        <f t="shared" si="0"/>
        <v>2015-07-27-2-B</v>
      </c>
      <c r="E209" s="28">
        <v>23970.400000000001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22"/>
      <c r="B210" s="7"/>
      <c r="C210" s="7"/>
      <c r="D210" s="7"/>
      <c r="E210" s="2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22"/>
      <c r="B211" s="7"/>
      <c r="C211" s="7"/>
      <c r="D211" s="7"/>
      <c r="E211" s="28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22"/>
      <c r="B212" s="7"/>
      <c r="C212" s="7"/>
      <c r="D212" s="7"/>
      <c r="E212" s="28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22"/>
      <c r="B213" s="7"/>
      <c r="C213" s="7"/>
      <c r="D213" s="7"/>
      <c r="E213" s="28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22"/>
      <c r="B214" s="7"/>
      <c r="C214" s="7"/>
      <c r="D214" s="7"/>
      <c r="E214" s="28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22"/>
      <c r="B215" s="7"/>
      <c r="C215" s="7"/>
      <c r="D215" s="7"/>
      <c r="E215" s="28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22"/>
      <c r="B216" s="7"/>
      <c r="C216" s="7"/>
      <c r="D216" s="7"/>
      <c r="E216" s="28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22"/>
      <c r="B217" s="7"/>
      <c r="C217" s="7"/>
      <c r="D217" s="7"/>
      <c r="E217" s="2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22"/>
      <c r="B218" s="7"/>
      <c r="C218" s="7"/>
      <c r="D218" s="7"/>
      <c r="E218" s="2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22"/>
      <c r="B219" s="7"/>
      <c r="C219" s="7"/>
      <c r="D219" s="7"/>
      <c r="E219" s="28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22"/>
      <c r="B220" s="7"/>
      <c r="C220" s="7"/>
      <c r="D220" s="7"/>
      <c r="E220" s="28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22"/>
      <c r="B221" s="7"/>
      <c r="C221" s="7"/>
      <c r="D221" s="7"/>
      <c r="E221" s="2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22"/>
      <c r="B222" s="7"/>
      <c r="C222" s="7"/>
      <c r="D222" s="7"/>
      <c r="E222" s="2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22"/>
      <c r="B223" s="7"/>
      <c r="C223" s="7"/>
      <c r="D223" s="7"/>
      <c r="E223" s="2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22"/>
      <c r="B224" s="7"/>
      <c r="C224" s="7"/>
      <c r="D224" s="7"/>
      <c r="E224" s="28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22"/>
      <c r="B225" s="7"/>
      <c r="C225" s="7"/>
      <c r="D225" s="7"/>
      <c r="E225" s="28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22"/>
      <c r="B226" s="7"/>
      <c r="C226" s="7"/>
      <c r="D226" s="7"/>
      <c r="E226" s="28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22"/>
      <c r="B227" s="7"/>
      <c r="C227" s="7"/>
      <c r="D227" s="7"/>
      <c r="E227" s="28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22"/>
      <c r="B228" s="7"/>
      <c r="C228" s="7"/>
      <c r="D228" s="7"/>
      <c r="E228" s="28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22"/>
      <c r="B229" s="7"/>
      <c r="C229" s="7"/>
      <c r="D229" s="7"/>
      <c r="E229" s="2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22"/>
      <c r="B230" s="7"/>
      <c r="C230" s="7"/>
      <c r="D230" s="7"/>
      <c r="E230" s="28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22"/>
      <c r="B231" s="7"/>
      <c r="C231" s="7"/>
      <c r="D231" s="7"/>
      <c r="E231" s="2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22"/>
      <c r="B232" s="7"/>
      <c r="C232" s="7"/>
      <c r="D232" s="7"/>
      <c r="E232" s="2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22"/>
      <c r="B233" s="7"/>
      <c r="C233" s="7"/>
      <c r="D233" s="7"/>
      <c r="E233" s="2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22"/>
      <c r="B234" s="7"/>
      <c r="C234" s="7"/>
      <c r="D234" s="7"/>
      <c r="E234" s="2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22"/>
      <c r="B235" s="7"/>
      <c r="C235" s="7"/>
      <c r="D235" s="7"/>
      <c r="E235" s="28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22"/>
      <c r="B236" s="7"/>
      <c r="C236" s="7"/>
      <c r="D236" s="7"/>
      <c r="E236" s="28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22"/>
      <c r="B237" s="7"/>
      <c r="C237" s="7"/>
      <c r="D237" s="7"/>
      <c r="E237" s="2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22"/>
      <c r="B238" s="7"/>
      <c r="C238" s="7"/>
      <c r="D238" s="7"/>
      <c r="E238" s="2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22"/>
      <c r="B239" s="7"/>
      <c r="C239" s="7"/>
      <c r="D239" s="7"/>
      <c r="E239" s="28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22"/>
      <c r="B240" s="7"/>
      <c r="C240" s="7"/>
      <c r="D240" s="7"/>
      <c r="E240" s="28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22"/>
      <c r="B241" s="7"/>
      <c r="C241" s="7"/>
      <c r="D241" s="7"/>
      <c r="E241" s="28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22"/>
      <c r="B242" s="7"/>
      <c r="C242" s="7"/>
      <c r="D242" s="7"/>
      <c r="E242" s="28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22"/>
      <c r="B243" s="7"/>
      <c r="C243" s="7"/>
      <c r="D243" s="7"/>
      <c r="E243" s="28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22"/>
      <c r="B244" s="7"/>
      <c r="C244" s="7"/>
      <c r="D244" s="7"/>
      <c r="E244" s="28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22"/>
      <c r="B245" s="7"/>
      <c r="C245" s="7"/>
      <c r="D245" s="7"/>
      <c r="E245" s="28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22"/>
      <c r="B246" s="7"/>
      <c r="C246" s="7"/>
      <c r="D246" s="7"/>
      <c r="E246" s="2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22"/>
      <c r="B247" s="7"/>
      <c r="C247" s="7"/>
      <c r="D247" s="7"/>
      <c r="E247" s="2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22"/>
      <c r="B248" s="7"/>
      <c r="C248" s="7"/>
      <c r="D248" s="7"/>
      <c r="E248" s="2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22"/>
      <c r="B249" s="7"/>
      <c r="C249" s="7"/>
      <c r="D249" s="7"/>
      <c r="E249" s="2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22"/>
      <c r="B250" s="7"/>
      <c r="C250" s="7"/>
      <c r="D250" s="7"/>
      <c r="E250" s="2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22"/>
      <c r="B251" s="7"/>
      <c r="C251" s="7"/>
      <c r="D251" s="7"/>
      <c r="E251" s="2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22"/>
      <c r="B252" s="7"/>
      <c r="C252" s="7"/>
      <c r="D252" s="7"/>
      <c r="E252" s="2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22"/>
      <c r="B253" s="7"/>
      <c r="C253" s="7"/>
      <c r="D253" s="7"/>
      <c r="E253" s="2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22"/>
      <c r="B254" s="7"/>
      <c r="C254" s="7"/>
      <c r="D254" s="7"/>
      <c r="E254" s="2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22"/>
      <c r="B255" s="7"/>
      <c r="C255" s="7"/>
      <c r="D255" s="7"/>
      <c r="E255" s="2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22"/>
      <c r="B256" s="7"/>
      <c r="C256" s="7"/>
      <c r="D256" s="7"/>
      <c r="E256" s="2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22"/>
      <c r="B257" s="7"/>
      <c r="C257" s="7"/>
      <c r="D257" s="7"/>
      <c r="E257" s="2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22"/>
      <c r="B258" s="7"/>
      <c r="C258" s="7"/>
      <c r="D258" s="7"/>
      <c r="E258" s="2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22"/>
      <c r="B259" s="7"/>
      <c r="C259" s="7"/>
      <c r="D259" s="7"/>
      <c r="E259" s="2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22"/>
      <c r="B260" s="7"/>
      <c r="C260" s="7"/>
      <c r="D260" s="7"/>
      <c r="E260" s="2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22"/>
      <c r="B261" s="7"/>
      <c r="C261" s="7"/>
      <c r="D261" s="7"/>
      <c r="E261" s="2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22"/>
      <c r="B262" s="7"/>
      <c r="C262" s="7"/>
      <c r="D262" s="7"/>
      <c r="E262" s="2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22"/>
      <c r="B263" s="7"/>
      <c r="C263" s="7"/>
      <c r="D263" s="7"/>
      <c r="E263" s="2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22"/>
      <c r="B264" s="7"/>
      <c r="C264" s="7"/>
      <c r="D264" s="7"/>
      <c r="E264" s="2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22"/>
      <c r="B265" s="7"/>
      <c r="C265" s="7"/>
      <c r="D265" s="7"/>
      <c r="E265" s="2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22"/>
      <c r="B266" s="7"/>
      <c r="C266" s="7"/>
      <c r="D266" s="7"/>
      <c r="E266" s="2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22"/>
      <c r="B267" s="7"/>
      <c r="C267" s="7"/>
      <c r="D267" s="7"/>
      <c r="E267" s="2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22"/>
      <c r="B268" s="7"/>
      <c r="C268" s="7"/>
      <c r="D268" s="7"/>
      <c r="E268" s="2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22"/>
      <c r="B269" s="7"/>
      <c r="C269" s="7"/>
      <c r="D269" s="7"/>
      <c r="E269" s="2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22"/>
      <c r="B270" s="7"/>
      <c r="C270" s="7"/>
      <c r="D270" s="7"/>
      <c r="E270" s="2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22"/>
      <c r="B271" s="7"/>
      <c r="C271" s="7"/>
      <c r="D271" s="7"/>
      <c r="E271" s="2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22"/>
      <c r="B272" s="7"/>
      <c r="C272" s="7"/>
      <c r="D272" s="7"/>
      <c r="E272" s="2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22"/>
      <c r="B273" s="7"/>
      <c r="C273" s="7"/>
      <c r="D273" s="7"/>
      <c r="E273" s="2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22"/>
      <c r="B274" s="7"/>
      <c r="C274" s="7"/>
      <c r="D274" s="7"/>
      <c r="E274" s="2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22"/>
      <c r="B275" s="7"/>
      <c r="C275" s="7"/>
      <c r="D275" s="7"/>
      <c r="E275" s="2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22"/>
      <c r="B276" s="7"/>
      <c r="C276" s="7"/>
      <c r="D276" s="7"/>
      <c r="E276" s="2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22"/>
      <c r="B277" s="7"/>
      <c r="C277" s="7"/>
      <c r="D277" s="7"/>
      <c r="E277" s="2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22"/>
      <c r="B278" s="7"/>
      <c r="C278" s="7"/>
      <c r="D278" s="7"/>
      <c r="E278" s="2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22"/>
      <c r="B279" s="7"/>
      <c r="C279" s="7"/>
      <c r="D279" s="7"/>
      <c r="E279" s="2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22"/>
      <c r="B280" s="7"/>
      <c r="C280" s="7"/>
      <c r="D280" s="7"/>
      <c r="E280" s="2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22"/>
      <c r="B281" s="7"/>
      <c r="C281" s="7"/>
      <c r="D281" s="7"/>
      <c r="E281" s="2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22"/>
      <c r="B282" s="7"/>
      <c r="C282" s="7"/>
      <c r="D282" s="7"/>
      <c r="E282" s="2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22"/>
      <c r="B283" s="7"/>
      <c r="C283" s="7"/>
      <c r="D283" s="7"/>
      <c r="E283" s="2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22"/>
      <c r="B284" s="7"/>
      <c r="C284" s="7"/>
      <c r="D284" s="7"/>
      <c r="E284" s="2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22"/>
      <c r="B285" s="7"/>
      <c r="C285" s="7"/>
      <c r="D285" s="7"/>
      <c r="E285" s="2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22"/>
      <c r="B286" s="7"/>
      <c r="C286" s="7"/>
      <c r="D286" s="7"/>
      <c r="E286" s="2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22"/>
      <c r="B287" s="7"/>
      <c r="C287" s="7"/>
      <c r="D287" s="7"/>
      <c r="E287" s="2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22"/>
      <c r="B288" s="7"/>
      <c r="C288" s="7"/>
      <c r="D288" s="7"/>
      <c r="E288" s="2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22"/>
      <c r="B289" s="7"/>
      <c r="C289" s="7"/>
      <c r="D289" s="7"/>
      <c r="E289" s="2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22"/>
      <c r="B290" s="7"/>
      <c r="C290" s="7"/>
      <c r="D290" s="7"/>
      <c r="E290" s="2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22"/>
      <c r="B291" s="7"/>
      <c r="C291" s="7"/>
      <c r="D291" s="7"/>
      <c r="E291" s="2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22"/>
      <c r="B292" s="7"/>
      <c r="C292" s="7"/>
      <c r="D292" s="7"/>
      <c r="E292" s="2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22"/>
      <c r="B293" s="7"/>
      <c r="C293" s="7"/>
      <c r="D293" s="7"/>
      <c r="E293" s="2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22"/>
      <c r="B294" s="7"/>
      <c r="C294" s="7"/>
      <c r="D294" s="7"/>
      <c r="E294" s="2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22"/>
      <c r="B295" s="7"/>
      <c r="C295" s="7"/>
      <c r="D295" s="7"/>
      <c r="E295" s="2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22"/>
      <c r="B296" s="7"/>
      <c r="C296" s="7"/>
      <c r="D296" s="7"/>
      <c r="E296" s="2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22"/>
      <c r="B297" s="7"/>
      <c r="C297" s="7"/>
      <c r="D297" s="7"/>
      <c r="E297" s="2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22"/>
      <c r="B298" s="7"/>
      <c r="C298" s="7"/>
      <c r="D298" s="7"/>
      <c r="E298" s="2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22"/>
      <c r="B299" s="7"/>
      <c r="C299" s="7"/>
      <c r="D299" s="7"/>
      <c r="E299" s="2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22"/>
      <c r="B300" s="7"/>
      <c r="C300" s="7"/>
      <c r="D300" s="7"/>
      <c r="E300" s="2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22"/>
      <c r="B301" s="7"/>
      <c r="C301" s="7"/>
      <c r="D301" s="7"/>
      <c r="E301" s="2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22"/>
      <c r="B302" s="7"/>
      <c r="C302" s="7"/>
      <c r="D302" s="7"/>
      <c r="E302" s="2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22"/>
      <c r="B303" s="7"/>
      <c r="C303" s="7"/>
      <c r="D303" s="7"/>
      <c r="E303" s="2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22"/>
      <c r="B304" s="7"/>
      <c r="C304" s="7"/>
      <c r="D304" s="7"/>
      <c r="E304" s="2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22"/>
      <c r="B305" s="7"/>
      <c r="C305" s="7"/>
      <c r="D305" s="7"/>
      <c r="E305" s="2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22"/>
      <c r="B306" s="7"/>
      <c r="C306" s="7"/>
      <c r="D306" s="7"/>
      <c r="E306" s="2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22"/>
      <c r="B307" s="7"/>
      <c r="C307" s="7"/>
      <c r="D307" s="7"/>
      <c r="E307" s="2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22"/>
      <c r="B308" s="7"/>
      <c r="C308" s="7"/>
      <c r="D308" s="7"/>
      <c r="E308" s="2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22"/>
      <c r="B309" s="7"/>
      <c r="C309" s="7"/>
      <c r="D309" s="7"/>
      <c r="E309" s="2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22"/>
      <c r="B310" s="7"/>
      <c r="C310" s="7"/>
      <c r="D310" s="7"/>
      <c r="E310" s="2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22"/>
      <c r="B311" s="7"/>
      <c r="C311" s="7"/>
      <c r="D311" s="7"/>
      <c r="E311" s="2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22"/>
      <c r="B312" s="7"/>
      <c r="C312" s="7"/>
      <c r="D312" s="7"/>
      <c r="E312" s="2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22"/>
      <c r="B313" s="7"/>
      <c r="C313" s="7"/>
      <c r="D313" s="7"/>
      <c r="E313" s="2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22"/>
      <c r="B314" s="7"/>
      <c r="C314" s="7"/>
      <c r="D314" s="7"/>
      <c r="E314" s="2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22"/>
      <c r="B315" s="7"/>
      <c r="C315" s="7"/>
      <c r="D315" s="7"/>
      <c r="E315" s="2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22"/>
      <c r="B316" s="7"/>
      <c r="C316" s="7"/>
      <c r="D316" s="7"/>
      <c r="E316" s="2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22"/>
      <c r="B317" s="7"/>
      <c r="C317" s="7"/>
      <c r="D317" s="7"/>
      <c r="E317" s="2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22"/>
      <c r="B318" s="7"/>
      <c r="C318" s="7"/>
      <c r="D318" s="7"/>
      <c r="E318" s="2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22"/>
      <c r="B319" s="7"/>
      <c r="C319" s="7"/>
      <c r="D319" s="7"/>
      <c r="E319" s="2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22"/>
      <c r="B320" s="7"/>
      <c r="C320" s="7"/>
      <c r="D320" s="7"/>
      <c r="E320" s="2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22"/>
      <c r="B321" s="7"/>
      <c r="C321" s="7"/>
      <c r="D321" s="7"/>
      <c r="E321" s="2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22"/>
      <c r="B322" s="7"/>
      <c r="C322" s="7"/>
      <c r="D322" s="7"/>
      <c r="E322" s="2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22"/>
      <c r="B323" s="7"/>
      <c r="C323" s="7"/>
      <c r="D323" s="7"/>
      <c r="E323" s="2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22"/>
      <c r="B324" s="7"/>
      <c r="C324" s="7"/>
      <c r="D324" s="7"/>
      <c r="E324" s="2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22"/>
      <c r="B325" s="7"/>
      <c r="C325" s="7"/>
      <c r="D325" s="7"/>
      <c r="E325" s="2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22"/>
      <c r="B326" s="7"/>
      <c r="C326" s="7"/>
      <c r="D326" s="7"/>
      <c r="E326" s="2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22"/>
      <c r="B327" s="7"/>
      <c r="C327" s="7"/>
      <c r="D327" s="7"/>
      <c r="E327" s="2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22"/>
      <c r="B328" s="7"/>
      <c r="C328" s="7"/>
      <c r="D328" s="7"/>
      <c r="E328" s="2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22"/>
      <c r="B329" s="7"/>
      <c r="C329" s="7"/>
      <c r="D329" s="7"/>
      <c r="E329" s="2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22"/>
      <c r="B330" s="7"/>
      <c r="C330" s="7"/>
      <c r="D330" s="7"/>
      <c r="E330" s="2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22"/>
      <c r="B331" s="7"/>
      <c r="C331" s="7"/>
      <c r="D331" s="7"/>
      <c r="E331" s="2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22"/>
      <c r="B332" s="7"/>
      <c r="C332" s="7"/>
      <c r="D332" s="7"/>
      <c r="E332" s="2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22"/>
      <c r="B333" s="7"/>
      <c r="C333" s="7"/>
      <c r="D333" s="7"/>
      <c r="E333" s="2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22"/>
      <c r="B334" s="7"/>
      <c r="C334" s="7"/>
      <c r="D334" s="7"/>
      <c r="E334" s="2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22"/>
      <c r="B335" s="7"/>
      <c r="C335" s="7"/>
      <c r="D335" s="7"/>
      <c r="E335" s="2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22"/>
      <c r="B336" s="7"/>
      <c r="C336" s="7"/>
      <c r="D336" s="7"/>
      <c r="E336" s="2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22"/>
      <c r="B337" s="7"/>
      <c r="C337" s="7"/>
      <c r="D337" s="7"/>
      <c r="E337" s="2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22"/>
      <c r="B338" s="7"/>
      <c r="C338" s="7"/>
      <c r="D338" s="7"/>
      <c r="E338" s="2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22"/>
      <c r="B339" s="7"/>
      <c r="C339" s="7"/>
      <c r="D339" s="7"/>
      <c r="E339" s="2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22"/>
      <c r="B340" s="7"/>
      <c r="C340" s="7"/>
      <c r="D340" s="7"/>
      <c r="E340" s="2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22"/>
      <c r="B341" s="7"/>
      <c r="C341" s="7"/>
      <c r="D341" s="7"/>
      <c r="E341" s="2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22"/>
      <c r="B342" s="7"/>
      <c r="C342" s="7"/>
      <c r="D342" s="7"/>
      <c r="E342" s="2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22"/>
      <c r="B343" s="7"/>
      <c r="C343" s="7"/>
      <c r="D343" s="7"/>
      <c r="E343" s="2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22"/>
      <c r="B344" s="7"/>
      <c r="C344" s="7"/>
      <c r="D344" s="7"/>
      <c r="E344" s="2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22"/>
      <c r="B345" s="7"/>
      <c r="C345" s="7"/>
      <c r="D345" s="7"/>
      <c r="E345" s="2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22"/>
      <c r="B346" s="7"/>
      <c r="C346" s="7"/>
      <c r="D346" s="7"/>
      <c r="E346" s="2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22"/>
      <c r="B347" s="7"/>
      <c r="C347" s="7"/>
      <c r="D347" s="7"/>
      <c r="E347" s="2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22"/>
      <c r="B348" s="7"/>
      <c r="C348" s="7"/>
      <c r="D348" s="7"/>
      <c r="E348" s="2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22"/>
      <c r="B349" s="7"/>
      <c r="C349" s="7"/>
      <c r="D349" s="7"/>
      <c r="E349" s="2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22"/>
      <c r="B350" s="7"/>
      <c r="C350" s="7"/>
      <c r="D350" s="7"/>
      <c r="E350" s="2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22"/>
      <c r="B351" s="7"/>
      <c r="C351" s="7"/>
      <c r="D351" s="7"/>
      <c r="E351" s="2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22"/>
      <c r="B352" s="7"/>
      <c r="C352" s="7"/>
      <c r="D352" s="7"/>
      <c r="E352" s="2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22"/>
      <c r="B353" s="7"/>
      <c r="C353" s="7"/>
      <c r="D353" s="7"/>
      <c r="E353" s="2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22"/>
      <c r="B354" s="7"/>
      <c r="C354" s="7"/>
      <c r="D354" s="7"/>
      <c r="E354" s="2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22"/>
      <c r="B355" s="7"/>
      <c r="C355" s="7"/>
      <c r="D355" s="7"/>
      <c r="E355" s="2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22"/>
      <c r="B356" s="7"/>
      <c r="C356" s="7"/>
      <c r="D356" s="7"/>
      <c r="E356" s="2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22"/>
      <c r="B357" s="7"/>
      <c r="C357" s="7"/>
      <c r="D357" s="7"/>
      <c r="E357" s="2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22"/>
      <c r="B358" s="7"/>
      <c r="C358" s="7"/>
      <c r="D358" s="7"/>
      <c r="E358" s="2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22"/>
      <c r="B359" s="7"/>
      <c r="C359" s="7"/>
      <c r="D359" s="7"/>
      <c r="E359" s="2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22"/>
      <c r="B360" s="7"/>
      <c r="C360" s="7"/>
      <c r="D360" s="7"/>
      <c r="E360" s="2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22"/>
      <c r="B361" s="7"/>
      <c r="C361" s="7"/>
      <c r="D361" s="7"/>
      <c r="E361" s="2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22"/>
      <c r="B362" s="7"/>
      <c r="C362" s="7"/>
      <c r="D362" s="7"/>
      <c r="E362" s="2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22"/>
      <c r="B363" s="7"/>
      <c r="C363" s="7"/>
      <c r="D363" s="7"/>
      <c r="E363" s="2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22"/>
      <c r="B364" s="7"/>
      <c r="C364" s="7"/>
      <c r="D364" s="7"/>
      <c r="E364" s="2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22"/>
      <c r="B365" s="7"/>
      <c r="C365" s="7"/>
      <c r="D365" s="7"/>
      <c r="E365" s="2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22"/>
      <c r="B366" s="7"/>
      <c r="C366" s="7"/>
      <c r="D366" s="7"/>
      <c r="E366" s="2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22"/>
      <c r="B367" s="7"/>
      <c r="C367" s="7"/>
      <c r="D367" s="7"/>
      <c r="E367" s="2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22"/>
      <c r="B368" s="7"/>
      <c r="C368" s="7"/>
      <c r="D368" s="7"/>
      <c r="E368" s="2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22"/>
      <c r="B369" s="7"/>
      <c r="C369" s="7"/>
      <c r="D369" s="7"/>
      <c r="E369" s="2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22"/>
      <c r="B370" s="7"/>
      <c r="C370" s="7"/>
      <c r="D370" s="7"/>
      <c r="E370" s="2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22"/>
      <c r="B371" s="7"/>
      <c r="C371" s="7"/>
      <c r="D371" s="7"/>
      <c r="E371" s="2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22"/>
      <c r="B372" s="7"/>
      <c r="C372" s="7"/>
      <c r="D372" s="7"/>
      <c r="E372" s="2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22"/>
      <c r="B373" s="7"/>
      <c r="C373" s="7"/>
      <c r="D373" s="7"/>
      <c r="E373" s="2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22"/>
      <c r="B374" s="7"/>
      <c r="C374" s="7"/>
      <c r="D374" s="7"/>
      <c r="E374" s="2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22"/>
      <c r="B375" s="7"/>
      <c r="C375" s="7"/>
      <c r="D375" s="7"/>
      <c r="E375" s="2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22"/>
      <c r="B376" s="7"/>
      <c r="C376" s="7"/>
      <c r="D376" s="7"/>
      <c r="E376" s="2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22"/>
      <c r="B377" s="7"/>
      <c r="C377" s="7"/>
      <c r="D377" s="7"/>
      <c r="E377" s="2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22"/>
      <c r="B378" s="7"/>
      <c r="C378" s="7"/>
      <c r="D378" s="7"/>
      <c r="E378" s="2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22"/>
      <c r="B379" s="7"/>
      <c r="C379" s="7"/>
      <c r="D379" s="7"/>
      <c r="E379" s="2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22"/>
      <c r="B380" s="7"/>
      <c r="C380" s="7"/>
      <c r="D380" s="7"/>
      <c r="E380" s="2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22"/>
      <c r="B381" s="7"/>
      <c r="C381" s="7"/>
      <c r="D381" s="7"/>
      <c r="E381" s="2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22"/>
      <c r="B382" s="7"/>
      <c r="C382" s="7"/>
      <c r="D382" s="7"/>
      <c r="E382" s="2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22"/>
      <c r="B383" s="7"/>
      <c r="C383" s="7"/>
      <c r="D383" s="7"/>
      <c r="E383" s="2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22"/>
      <c r="B384" s="7"/>
      <c r="C384" s="7"/>
      <c r="D384" s="7"/>
      <c r="E384" s="2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22"/>
      <c r="B385" s="7"/>
      <c r="C385" s="7"/>
      <c r="D385" s="7"/>
      <c r="E385" s="2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22"/>
      <c r="B386" s="7"/>
      <c r="C386" s="7"/>
      <c r="D386" s="7"/>
      <c r="E386" s="2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22"/>
      <c r="B387" s="7"/>
      <c r="C387" s="7"/>
      <c r="D387" s="7"/>
      <c r="E387" s="2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22"/>
      <c r="B388" s="7"/>
      <c r="C388" s="7"/>
      <c r="D388" s="7"/>
      <c r="E388" s="2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22"/>
      <c r="B389" s="7"/>
      <c r="C389" s="7"/>
      <c r="D389" s="7"/>
      <c r="E389" s="2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22"/>
      <c r="B390" s="7"/>
      <c r="C390" s="7"/>
      <c r="D390" s="7"/>
      <c r="E390" s="2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22"/>
      <c r="B391" s="7"/>
      <c r="C391" s="7"/>
      <c r="D391" s="7"/>
      <c r="E391" s="2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22"/>
      <c r="B392" s="7"/>
      <c r="C392" s="7"/>
      <c r="D392" s="7"/>
      <c r="E392" s="2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22"/>
      <c r="B393" s="7"/>
      <c r="C393" s="7"/>
      <c r="D393" s="7"/>
      <c r="E393" s="2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22"/>
      <c r="B394" s="7"/>
      <c r="C394" s="7"/>
      <c r="D394" s="7"/>
      <c r="E394" s="2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22"/>
      <c r="B395" s="7"/>
      <c r="C395" s="7"/>
      <c r="D395" s="7"/>
      <c r="E395" s="2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22"/>
      <c r="B396" s="7"/>
      <c r="C396" s="7"/>
      <c r="D396" s="7"/>
      <c r="E396" s="2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22"/>
      <c r="B397" s="7"/>
      <c r="C397" s="7"/>
      <c r="D397" s="7"/>
      <c r="E397" s="2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22"/>
      <c r="B398" s="7"/>
      <c r="C398" s="7"/>
      <c r="D398" s="7"/>
      <c r="E398" s="2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22"/>
      <c r="B399" s="7"/>
      <c r="C399" s="7"/>
      <c r="D399" s="7"/>
      <c r="E399" s="2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22"/>
      <c r="B400" s="7"/>
      <c r="C400" s="7"/>
      <c r="D400" s="7"/>
      <c r="E400" s="2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22"/>
      <c r="B401" s="7"/>
      <c r="C401" s="7"/>
      <c r="D401" s="7"/>
      <c r="E401" s="2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22"/>
      <c r="B402" s="7"/>
      <c r="C402" s="7"/>
      <c r="D402" s="7"/>
      <c r="E402" s="2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22"/>
      <c r="B403" s="7"/>
      <c r="C403" s="7"/>
      <c r="D403" s="7"/>
      <c r="E403" s="2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22"/>
      <c r="B404" s="7"/>
      <c r="C404" s="7"/>
      <c r="D404" s="7"/>
      <c r="E404" s="2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22"/>
      <c r="B405" s="7"/>
      <c r="C405" s="7"/>
      <c r="D405" s="7"/>
      <c r="E405" s="2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22"/>
      <c r="B406" s="7"/>
      <c r="C406" s="7"/>
      <c r="D406" s="7"/>
      <c r="E406" s="2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22"/>
      <c r="B407" s="7"/>
      <c r="C407" s="7"/>
      <c r="D407" s="7"/>
      <c r="E407" s="2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22"/>
      <c r="B408" s="7"/>
      <c r="C408" s="7"/>
      <c r="D408" s="7"/>
      <c r="E408" s="2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22"/>
      <c r="B409" s="7"/>
      <c r="C409" s="7"/>
      <c r="D409" s="7"/>
      <c r="E409" s="2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22"/>
      <c r="B410" s="7"/>
      <c r="C410" s="7"/>
      <c r="D410" s="7"/>
      <c r="E410" s="2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22"/>
      <c r="B411" s="7"/>
      <c r="C411" s="7"/>
      <c r="D411" s="7"/>
      <c r="E411" s="2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22"/>
      <c r="B412" s="7"/>
      <c r="C412" s="7"/>
      <c r="D412" s="7"/>
      <c r="E412" s="2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22"/>
      <c r="B413" s="7"/>
      <c r="C413" s="7"/>
      <c r="D413" s="7"/>
      <c r="E413" s="2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22"/>
      <c r="B414" s="7"/>
      <c r="C414" s="7"/>
      <c r="D414" s="7"/>
      <c r="E414" s="2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22"/>
      <c r="B415" s="7"/>
      <c r="C415" s="7"/>
      <c r="D415" s="7"/>
      <c r="E415" s="2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22"/>
      <c r="B416" s="7"/>
      <c r="C416" s="7"/>
      <c r="D416" s="7"/>
      <c r="E416" s="2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22"/>
      <c r="B417" s="7"/>
      <c r="C417" s="7"/>
      <c r="D417" s="7"/>
      <c r="E417" s="2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22"/>
      <c r="B418" s="7"/>
      <c r="C418" s="7"/>
      <c r="D418" s="7"/>
      <c r="E418" s="2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22"/>
      <c r="B419" s="7"/>
      <c r="C419" s="7"/>
      <c r="D419" s="7"/>
      <c r="E419" s="2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22"/>
      <c r="B420" s="7"/>
      <c r="C420" s="7"/>
      <c r="D420" s="7"/>
      <c r="E420" s="2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22"/>
      <c r="B421" s="7"/>
      <c r="C421" s="7"/>
      <c r="D421" s="7"/>
      <c r="E421" s="2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22"/>
      <c r="B422" s="7"/>
      <c r="C422" s="7"/>
      <c r="D422" s="7"/>
      <c r="E422" s="2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22"/>
      <c r="B423" s="7"/>
      <c r="C423" s="7"/>
      <c r="D423" s="7"/>
      <c r="E423" s="2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22"/>
      <c r="B424" s="7"/>
      <c r="C424" s="7"/>
      <c r="D424" s="7"/>
      <c r="E424" s="2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22"/>
      <c r="B425" s="7"/>
      <c r="C425" s="7"/>
      <c r="D425" s="7"/>
      <c r="E425" s="2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22"/>
      <c r="B426" s="7"/>
      <c r="C426" s="7"/>
      <c r="D426" s="7"/>
      <c r="E426" s="2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22"/>
      <c r="B427" s="7"/>
      <c r="C427" s="7"/>
      <c r="D427" s="7"/>
      <c r="E427" s="2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22"/>
      <c r="B428" s="7"/>
      <c r="C428" s="7"/>
      <c r="D428" s="7"/>
      <c r="E428" s="2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22"/>
      <c r="B429" s="7"/>
      <c r="C429" s="7"/>
      <c r="D429" s="7"/>
      <c r="E429" s="2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22"/>
      <c r="B430" s="7"/>
      <c r="C430" s="7"/>
      <c r="D430" s="7"/>
      <c r="E430" s="2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22"/>
      <c r="B431" s="7"/>
      <c r="C431" s="7"/>
      <c r="D431" s="7"/>
      <c r="E431" s="2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22"/>
      <c r="B432" s="7"/>
      <c r="C432" s="7"/>
      <c r="D432" s="7"/>
      <c r="E432" s="2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22"/>
      <c r="B433" s="7"/>
      <c r="C433" s="7"/>
      <c r="D433" s="7"/>
      <c r="E433" s="2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22"/>
      <c r="B434" s="7"/>
      <c r="C434" s="7"/>
      <c r="D434" s="7"/>
      <c r="E434" s="2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22"/>
      <c r="B435" s="7"/>
      <c r="C435" s="7"/>
      <c r="D435" s="7"/>
      <c r="E435" s="2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22"/>
      <c r="B436" s="7"/>
      <c r="C436" s="7"/>
      <c r="D436" s="7"/>
      <c r="E436" s="2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22"/>
      <c r="B437" s="7"/>
      <c r="C437" s="7"/>
      <c r="D437" s="7"/>
      <c r="E437" s="2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22"/>
      <c r="B438" s="7"/>
      <c r="C438" s="7"/>
      <c r="D438" s="7"/>
      <c r="E438" s="2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22"/>
      <c r="B439" s="7"/>
      <c r="C439" s="7"/>
      <c r="D439" s="7"/>
      <c r="E439" s="2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22"/>
      <c r="B440" s="7"/>
      <c r="C440" s="7"/>
      <c r="D440" s="7"/>
      <c r="E440" s="2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22"/>
      <c r="B441" s="7"/>
      <c r="C441" s="7"/>
      <c r="D441" s="7"/>
      <c r="E441" s="2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22"/>
      <c r="B442" s="7"/>
      <c r="C442" s="7"/>
      <c r="D442" s="7"/>
      <c r="E442" s="2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22"/>
      <c r="B443" s="7"/>
      <c r="C443" s="7"/>
      <c r="D443" s="7"/>
      <c r="E443" s="2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22"/>
      <c r="B444" s="7"/>
      <c r="C444" s="7"/>
      <c r="D444" s="7"/>
      <c r="E444" s="2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22"/>
      <c r="B445" s="7"/>
      <c r="C445" s="7"/>
      <c r="D445" s="7"/>
      <c r="E445" s="2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22"/>
      <c r="B446" s="7"/>
      <c r="C446" s="7"/>
      <c r="D446" s="7"/>
      <c r="E446" s="2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22"/>
      <c r="B447" s="7"/>
      <c r="C447" s="7"/>
      <c r="D447" s="7"/>
      <c r="E447" s="2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22"/>
      <c r="B448" s="7"/>
      <c r="C448" s="7"/>
      <c r="D448" s="7"/>
      <c r="E448" s="2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22"/>
      <c r="B449" s="7"/>
      <c r="C449" s="7"/>
      <c r="D449" s="7"/>
      <c r="E449" s="2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22"/>
      <c r="B450" s="7"/>
      <c r="C450" s="7"/>
      <c r="D450" s="7"/>
      <c r="E450" s="2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22"/>
      <c r="B451" s="7"/>
      <c r="C451" s="7"/>
      <c r="D451" s="7"/>
      <c r="E451" s="2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22"/>
      <c r="B452" s="7"/>
      <c r="C452" s="7"/>
      <c r="D452" s="7"/>
      <c r="E452" s="2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22"/>
      <c r="B453" s="7"/>
      <c r="C453" s="7"/>
      <c r="D453" s="7"/>
      <c r="E453" s="2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22"/>
      <c r="B454" s="7"/>
      <c r="C454" s="7"/>
      <c r="D454" s="7"/>
      <c r="E454" s="2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22"/>
      <c r="B455" s="7"/>
      <c r="C455" s="7"/>
      <c r="D455" s="7"/>
      <c r="E455" s="2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22"/>
      <c r="B456" s="7"/>
      <c r="C456" s="7"/>
      <c r="D456" s="7"/>
      <c r="E456" s="2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22"/>
      <c r="B457" s="7"/>
      <c r="C457" s="7"/>
      <c r="D457" s="7"/>
      <c r="E457" s="2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22"/>
      <c r="B458" s="7"/>
      <c r="C458" s="7"/>
      <c r="D458" s="7"/>
      <c r="E458" s="2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22"/>
      <c r="B459" s="7"/>
      <c r="C459" s="7"/>
      <c r="D459" s="7"/>
      <c r="E459" s="2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22"/>
      <c r="B460" s="7"/>
      <c r="C460" s="7"/>
      <c r="D460" s="7"/>
      <c r="E460" s="2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22"/>
      <c r="B461" s="7"/>
      <c r="C461" s="7"/>
      <c r="D461" s="7"/>
      <c r="E461" s="2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22"/>
      <c r="B462" s="7"/>
      <c r="C462" s="7"/>
      <c r="D462" s="7"/>
      <c r="E462" s="2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22"/>
      <c r="B463" s="7"/>
      <c r="C463" s="7"/>
      <c r="D463" s="7"/>
      <c r="E463" s="2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22"/>
      <c r="B464" s="7"/>
      <c r="C464" s="7"/>
      <c r="D464" s="7"/>
      <c r="E464" s="2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22"/>
      <c r="B465" s="7"/>
      <c r="C465" s="7"/>
      <c r="D465" s="7"/>
      <c r="E465" s="2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22"/>
      <c r="B466" s="7"/>
      <c r="C466" s="7"/>
      <c r="D466" s="7"/>
      <c r="E466" s="2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22"/>
      <c r="B467" s="7"/>
      <c r="C467" s="7"/>
      <c r="D467" s="7"/>
      <c r="E467" s="2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22"/>
      <c r="B468" s="7"/>
      <c r="C468" s="7"/>
      <c r="D468" s="7"/>
      <c r="E468" s="2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22"/>
      <c r="B469" s="7"/>
      <c r="C469" s="7"/>
      <c r="D469" s="7"/>
      <c r="E469" s="2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22"/>
      <c r="B470" s="7"/>
      <c r="C470" s="7"/>
      <c r="D470" s="7"/>
      <c r="E470" s="2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22"/>
      <c r="B471" s="7"/>
      <c r="C471" s="7"/>
      <c r="D471" s="7"/>
      <c r="E471" s="2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22"/>
      <c r="B472" s="7"/>
      <c r="C472" s="7"/>
      <c r="D472" s="7"/>
      <c r="E472" s="2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22"/>
      <c r="B473" s="7"/>
      <c r="C473" s="7"/>
      <c r="D473" s="7"/>
      <c r="E473" s="2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22"/>
      <c r="B474" s="7"/>
      <c r="C474" s="7"/>
      <c r="D474" s="7"/>
      <c r="E474" s="2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22"/>
      <c r="B475" s="7"/>
      <c r="C475" s="7"/>
      <c r="D475" s="7"/>
      <c r="E475" s="2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22"/>
      <c r="B476" s="7"/>
      <c r="C476" s="7"/>
      <c r="D476" s="7"/>
      <c r="E476" s="2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22"/>
      <c r="B477" s="7"/>
      <c r="C477" s="7"/>
      <c r="D477" s="7"/>
      <c r="E477" s="2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22"/>
      <c r="B478" s="7"/>
      <c r="C478" s="7"/>
      <c r="D478" s="7"/>
      <c r="E478" s="2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22"/>
      <c r="B479" s="7"/>
      <c r="C479" s="7"/>
      <c r="D479" s="7"/>
      <c r="E479" s="2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22"/>
      <c r="B480" s="7"/>
      <c r="C480" s="7"/>
      <c r="D480" s="7"/>
      <c r="E480" s="2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22"/>
      <c r="B481" s="7"/>
      <c r="C481" s="7"/>
      <c r="D481" s="7"/>
      <c r="E481" s="2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22"/>
      <c r="B482" s="7"/>
      <c r="C482" s="7"/>
      <c r="D482" s="7"/>
      <c r="E482" s="2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22"/>
      <c r="B483" s="7"/>
      <c r="C483" s="7"/>
      <c r="D483" s="7"/>
      <c r="E483" s="2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22"/>
      <c r="B484" s="7"/>
      <c r="C484" s="7"/>
      <c r="D484" s="7"/>
      <c r="E484" s="2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22"/>
      <c r="B485" s="7"/>
      <c r="C485" s="7"/>
      <c r="D485" s="7"/>
      <c r="E485" s="2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22"/>
      <c r="B486" s="7"/>
      <c r="C486" s="7"/>
      <c r="D486" s="7"/>
      <c r="E486" s="2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22"/>
      <c r="B487" s="7"/>
      <c r="C487" s="7"/>
      <c r="D487" s="7"/>
      <c r="E487" s="2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22"/>
      <c r="B488" s="7"/>
      <c r="C488" s="7"/>
      <c r="D488" s="7"/>
      <c r="E488" s="2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22"/>
      <c r="B489" s="7"/>
      <c r="C489" s="7"/>
      <c r="D489" s="7"/>
      <c r="E489" s="2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22"/>
      <c r="B490" s="7"/>
      <c r="C490" s="7"/>
      <c r="D490" s="7"/>
      <c r="E490" s="2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22"/>
      <c r="B491" s="7"/>
      <c r="C491" s="7"/>
      <c r="D491" s="7"/>
      <c r="E491" s="2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22"/>
      <c r="B492" s="7"/>
      <c r="C492" s="7"/>
      <c r="D492" s="7"/>
      <c r="E492" s="2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22"/>
      <c r="B493" s="7"/>
      <c r="C493" s="7"/>
      <c r="D493" s="7"/>
      <c r="E493" s="2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22"/>
      <c r="B494" s="7"/>
      <c r="C494" s="7"/>
      <c r="D494" s="7"/>
      <c r="E494" s="2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22"/>
      <c r="B495" s="7"/>
      <c r="C495" s="7"/>
      <c r="D495" s="7"/>
      <c r="E495" s="2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22"/>
      <c r="B496" s="7"/>
      <c r="C496" s="7"/>
      <c r="D496" s="7"/>
      <c r="E496" s="2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22"/>
      <c r="B497" s="7"/>
      <c r="C497" s="7"/>
      <c r="D497" s="7"/>
      <c r="E497" s="2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22"/>
      <c r="B498" s="7"/>
      <c r="C498" s="7"/>
      <c r="D498" s="7"/>
      <c r="E498" s="2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22"/>
      <c r="B499" s="7"/>
      <c r="C499" s="7"/>
      <c r="D499" s="7"/>
      <c r="E499" s="2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22"/>
      <c r="B500" s="7"/>
      <c r="C500" s="7"/>
      <c r="D500" s="7"/>
      <c r="E500" s="2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22"/>
      <c r="B501" s="7"/>
      <c r="C501" s="7"/>
      <c r="D501" s="7"/>
      <c r="E501" s="2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22"/>
      <c r="B502" s="7"/>
      <c r="C502" s="7"/>
      <c r="D502" s="7"/>
      <c r="E502" s="2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22"/>
      <c r="B503" s="7"/>
      <c r="C503" s="7"/>
      <c r="D503" s="7"/>
      <c r="E503" s="2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22"/>
      <c r="B504" s="7"/>
      <c r="C504" s="7"/>
      <c r="D504" s="7"/>
      <c r="E504" s="2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22"/>
      <c r="B505" s="7"/>
      <c r="C505" s="7"/>
      <c r="D505" s="7"/>
      <c r="E505" s="2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22"/>
      <c r="B506" s="7"/>
      <c r="C506" s="7"/>
      <c r="D506" s="7"/>
      <c r="E506" s="2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22"/>
      <c r="B507" s="7"/>
      <c r="C507" s="7"/>
      <c r="D507" s="7"/>
      <c r="E507" s="2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22"/>
      <c r="B508" s="7"/>
      <c r="C508" s="7"/>
      <c r="D508" s="7"/>
      <c r="E508" s="2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22"/>
      <c r="B509" s="7"/>
      <c r="C509" s="7"/>
      <c r="D509" s="7"/>
      <c r="E509" s="2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22"/>
      <c r="B510" s="7"/>
      <c r="C510" s="7"/>
      <c r="D510" s="7"/>
      <c r="E510" s="2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22"/>
      <c r="B511" s="7"/>
      <c r="C511" s="7"/>
      <c r="D511" s="7"/>
      <c r="E511" s="2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22"/>
      <c r="B512" s="7"/>
      <c r="C512" s="7"/>
      <c r="D512" s="7"/>
      <c r="E512" s="2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22"/>
      <c r="B513" s="7"/>
      <c r="C513" s="7"/>
      <c r="D513" s="7"/>
      <c r="E513" s="2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22"/>
      <c r="B514" s="7"/>
      <c r="C514" s="7"/>
      <c r="D514" s="7"/>
      <c r="E514" s="2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22"/>
      <c r="B515" s="7"/>
      <c r="C515" s="7"/>
      <c r="D515" s="7"/>
      <c r="E515" s="2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22"/>
      <c r="B516" s="7"/>
      <c r="C516" s="7"/>
      <c r="D516" s="7"/>
      <c r="E516" s="2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22"/>
      <c r="B517" s="7"/>
      <c r="C517" s="7"/>
      <c r="D517" s="7"/>
      <c r="E517" s="2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22"/>
      <c r="B518" s="7"/>
      <c r="C518" s="7"/>
      <c r="D518" s="7"/>
      <c r="E518" s="2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22"/>
      <c r="B519" s="7"/>
      <c r="C519" s="7"/>
      <c r="D519" s="7"/>
      <c r="E519" s="2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22"/>
      <c r="B520" s="7"/>
      <c r="C520" s="7"/>
      <c r="D520" s="7"/>
      <c r="E520" s="2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22"/>
      <c r="B521" s="7"/>
      <c r="C521" s="7"/>
      <c r="D521" s="7"/>
      <c r="E521" s="2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22"/>
      <c r="B522" s="7"/>
      <c r="C522" s="7"/>
      <c r="D522" s="7"/>
      <c r="E522" s="2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22"/>
      <c r="B523" s="7"/>
      <c r="C523" s="7"/>
      <c r="D523" s="7"/>
      <c r="E523" s="2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22"/>
      <c r="B524" s="7"/>
      <c r="C524" s="7"/>
      <c r="D524" s="7"/>
      <c r="E524" s="2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22"/>
      <c r="B525" s="7"/>
      <c r="C525" s="7"/>
      <c r="D525" s="7"/>
      <c r="E525" s="2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22"/>
      <c r="B526" s="7"/>
      <c r="C526" s="7"/>
      <c r="D526" s="7"/>
      <c r="E526" s="2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22"/>
      <c r="B527" s="7"/>
      <c r="C527" s="7"/>
      <c r="D527" s="7"/>
      <c r="E527" s="2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22"/>
      <c r="B528" s="7"/>
      <c r="C528" s="7"/>
      <c r="D528" s="7"/>
      <c r="E528" s="2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22"/>
      <c r="B529" s="7"/>
      <c r="C529" s="7"/>
      <c r="D529" s="7"/>
      <c r="E529" s="2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22"/>
      <c r="B530" s="7"/>
      <c r="C530" s="7"/>
      <c r="D530" s="7"/>
      <c r="E530" s="2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22"/>
      <c r="B531" s="7"/>
      <c r="C531" s="7"/>
      <c r="D531" s="7"/>
      <c r="E531" s="2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22"/>
      <c r="B532" s="7"/>
      <c r="C532" s="7"/>
      <c r="D532" s="7"/>
      <c r="E532" s="2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22"/>
      <c r="B533" s="7"/>
      <c r="C533" s="7"/>
      <c r="D533" s="7"/>
      <c r="E533" s="2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22"/>
      <c r="B534" s="7"/>
      <c r="C534" s="7"/>
      <c r="D534" s="7"/>
      <c r="E534" s="2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22"/>
      <c r="B535" s="7"/>
      <c r="C535" s="7"/>
      <c r="D535" s="7"/>
      <c r="E535" s="2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22"/>
      <c r="B536" s="7"/>
      <c r="C536" s="7"/>
      <c r="D536" s="7"/>
      <c r="E536" s="2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22"/>
      <c r="B537" s="7"/>
      <c r="C537" s="7"/>
      <c r="D537" s="7"/>
      <c r="E537" s="2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22"/>
      <c r="B538" s="7"/>
      <c r="C538" s="7"/>
      <c r="D538" s="7"/>
      <c r="E538" s="2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22"/>
      <c r="B539" s="7"/>
      <c r="C539" s="7"/>
      <c r="D539" s="7"/>
      <c r="E539" s="2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22"/>
      <c r="B540" s="7"/>
      <c r="C540" s="7"/>
      <c r="D540" s="7"/>
      <c r="E540" s="2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22"/>
      <c r="B541" s="7"/>
      <c r="C541" s="7"/>
      <c r="D541" s="7"/>
      <c r="E541" s="2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22"/>
      <c r="B542" s="7"/>
      <c r="C542" s="7"/>
      <c r="D542" s="7"/>
      <c r="E542" s="2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22"/>
      <c r="B543" s="7"/>
      <c r="C543" s="7"/>
      <c r="D543" s="7"/>
      <c r="E543" s="2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22"/>
      <c r="B544" s="7"/>
      <c r="C544" s="7"/>
      <c r="D544" s="7"/>
      <c r="E544" s="2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22"/>
      <c r="B545" s="7"/>
      <c r="C545" s="7"/>
      <c r="D545" s="7"/>
      <c r="E545" s="2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22"/>
      <c r="B546" s="7"/>
      <c r="C546" s="7"/>
      <c r="D546" s="7"/>
      <c r="E546" s="2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22"/>
      <c r="B547" s="7"/>
      <c r="C547" s="7"/>
      <c r="D547" s="7"/>
      <c r="E547" s="2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22"/>
      <c r="B548" s="7"/>
      <c r="C548" s="7"/>
      <c r="D548" s="7"/>
      <c r="E548" s="2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22"/>
      <c r="B549" s="7"/>
      <c r="C549" s="7"/>
      <c r="D549" s="7"/>
      <c r="E549" s="2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22"/>
      <c r="B550" s="7"/>
      <c r="C550" s="7"/>
      <c r="D550" s="7"/>
      <c r="E550" s="2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22"/>
      <c r="B551" s="7"/>
      <c r="C551" s="7"/>
      <c r="D551" s="7"/>
      <c r="E551" s="2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22"/>
      <c r="B552" s="7"/>
      <c r="C552" s="7"/>
      <c r="D552" s="7"/>
      <c r="E552" s="2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22"/>
      <c r="B553" s="7"/>
      <c r="C553" s="7"/>
      <c r="D553" s="7"/>
      <c r="E553" s="2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22"/>
      <c r="B554" s="7"/>
      <c r="C554" s="7"/>
      <c r="D554" s="7"/>
      <c r="E554" s="2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22"/>
      <c r="B555" s="7"/>
      <c r="C555" s="7"/>
      <c r="D555" s="7"/>
      <c r="E555" s="2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22"/>
      <c r="B556" s="7"/>
      <c r="C556" s="7"/>
      <c r="D556" s="7"/>
      <c r="E556" s="2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22"/>
      <c r="B557" s="7"/>
      <c r="C557" s="7"/>
      <c r="D557" s="7"/>
      <c r="E557" s="2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22"/>
      <c r="B558" s="7"/>
      <c r="C558" s="7"/>
      <c r="D558" s="7"/>
      <c r="E558" s="2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22"/>
      <c r="B559" s="7"/>
      <c r="C559" s="7"/>
      <c r="D559" s="7"/>
      <c r="E559" s="2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22"/>
      <c r="B560" s="7"/>
      <c r="C560" s="7"/>
      <c r="D560" s="7"/>
      <c r="E560" s="2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22"/>
      <c r="B561" s="7"/>
      <c r="C561" s="7"/>
      <c r="D561" s="7"/>
      <c r="E561" s="2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22"/>
      <c r="B562" s="7"/>
      <c r="C562" s="7"/>
      <c r="D562" s="7"/>
      <c r="E562" s="2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22"/>
      <c r="B563" s="7"/>
      <c r="C563" s="7"/>
      <c r="D563" s="7"/>
      <c r="E563" s="2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22"/>
      <c r="B564" s="7"/>
      <c r="C564" s="7"/>
      <c r="D564" s="7"/>
      <c r="E564" s="2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22"/>
      <c r="B565" s="7"/>
      <c r="C565" s="7"/>
      <c r="D565" s="7"/>
      <c r="E565" s="2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22"/>
      <c r="B566" s="7"/>
      <c r="C566" s="7"/>
      <c r="D566" s="7"/>
      <c r="E566" s="2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22"/>
      <c r="B567" s="7"/>
      <c r="C567" s="7"/>
      <c r="D567" s="7"/>
      <c r="E567" s="2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22"/>
      <c r="B568" s="7"/>
      <c r="C568" s="7"/>
      <c r="D568" s="7"/>
      <c r="E568" s="2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22"/>
      <c r="B569" s="7"/>
      <c r="C569" s="7"/>
      <c r="D569" s="7"/>
      <c r="E569" s="2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22"/>
      <c r="B570" s="7"/>
      <c r="C570" s="7"/>
      <c r="D570" s="7"/>
      <c r="E570" s="2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22"/>
      <c r="B571" s="7"/>
      <c r="C571" s="7"/>
      <c r="D571" s="7"/>
      <c r="E571" s="2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22"/>
      <c r="B572" s="7"/>
      <c r="C572" s="7"/>
      <c r="D572" s="7"/>
      <c r="E572" s="2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22"/>
      <c r="B573" s="7"/>
      <c r="C573" s="7"/>
      <c r="D573" s="7"/>
      <c r="E573" s="2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22"/>
      <c r="B574" s="7"/>
      <c r="C574" s="7"/>
      <c r="D574" s="7"/>
      <c r="E574" s="2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22"/>
      <c r="B575" s="7"/>
      <c r="C575" s="7"/>
      <c r="D575" s="7"/>
      <c r="E575" s="2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22"/>
      <c r="B576" s="7"/>
      <c r="C576" s="7"/>
      <c r="D576" s="7"/>
      <c r="E576" s="2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22"/>
      <c r="B577" s="7"/>
      <c r="C577" s="7"/>
      <c r="D577" s="7"/>
      <c r="E577" s="2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22"/>
      <c r="B578" s="7"/>
      <c r="C578" s="7"/>
      <c r="D578" s="7"/>
      <c r="E578" s="2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22"/>
      <c r="B579" s="7"/>
      <c r="C579" s="7"/>
      <c r="D579" s="7"/>
      <c r="E579" s="2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22"/>
      <c r="B580" s="7"/>
      <c r="C580" s="7"/>
      <c r="D580" s="7"/>
      <c r="E580" s="2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22"/>
      <c r="B581" s="7"/>
      <c r="C581" s="7"/>
      <c r="D581" s="7"/>
      <c r="E581" s="2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22"/>
      <c r="B582" s="7"/>
      <c r="C582" s="7"/>
      <c r="D582" s="7"/>
      <c r="E582" s="2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22"/>
      <c r="B583" s="7"/>
      <c r="C583" s="7"/>
      <c r="D583" s="7"/>
      <c r="E583" s="2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22"/>
      <c r="B584" s="7"/>
      <c r="C584" s="7"/>
      <c r="D584" s="7"/>
      <c r="E584" s="2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22"/>
      <c r="B585" s="7"/>
      <c r="C585" s="7"/>
      <c r="D585" s="7"/>
      <c r="E585" s="2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22"/>
      <c r="B586" s="7"/>
      <c r="C586" s="7"/>
      <c r="D586" s="7"/>
      <c r="E586" s="2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22"/>
      <c r="B587" s="7"/>
      <c r="C587" s="7"/>
      <c r="D587" s="7"/>
      <c r="E587" s="2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22"/>
      <c r="B588" s="7"/>
      <c r="C588" s="7"/>
      <c r="D588" s="7"/>
      <c r="E588" s="2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22"/>
      <c r="B589" s="7"/>
      <c r="C589" s="7"/>
      <c r="D589" s="7"/>
      <c r="E589" s="2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22"/>
      <c r="B590" s="7"/>
      <c r="C590" s="7"/>
      <c r="D590" s="7"/>
      <c r="E590" s="2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22"/>
      <c r="B591" s="7"/>
      <c r="C591" s="7"/>
      <c r="D591" s="7"/>
      <c r="E591" s="2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22"/>
      <c r="B592" s="7"/>
      <c r="C592" s="7"/>
      <c r="D592" s="7"/>
      <c r="E592" s="2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22"/>
      <c r="B593" s="7"/>
      <c r="C593" s="7"/>
      <c r="D593" s="7"/>
      <c r="E593" s="2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22"/>
      <c r="B594" s="7"/>
      <c r="C594" s="7"/>
      <c r="D594" s="7"/>
      <c r="E594" s="2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22"/>
      <c r="B595" s="7"/>
      <c r="C595" s="7"/>
      <c r="D595" s="7"/>
      <c r="E595" s="2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22"/>
      <c r="B596" s="7"/>
      <c r="C596" s="7"/>
      <c r="D596" s="7"/>
      <c r="E596" s="2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22"/>
      <c r="B597" s="7"/>
      <c r="C597" s="7"/>
      <c r="D597" s="7"/>
      <c r="E597" s="2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22"/>
      <c r="B598" s="7"/>
      <c r="C598" s="7"/>
      <c r="D598" s="7"/>
      <c r="E598" s="2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22"/>
      <c r="B599" s="7"/>
      <c r="C599" s="7"/>
      <c r="D599" s="7"/>
      <c r="E599" s="2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22"/>
      <c r="B600" s="7"/>
      <c r="C600" s="7"/>
      <c r="D600" s="7"/>
      <c r="E600" s="2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22"/>
      <c r="B601" s="7"/>
      <c r="C601" s="7"/>
      <c r="D601" s="7"/>
      <c r="E601" s="2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22"/>
      <c r="B602" s="7"/>
      <c r="C602" s="7"/>
      <c r="D602" s="7"/>
      <c r="E602" s="2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22"/>
      <c r="B603" s="7"/>
      <c r="C603" s="7"/>
      <c r="D603" s="7"/>
      <c r="E603" s="2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22"/>
      <c r="B604" s="7"/>
      <c r="C604" s="7"/>
      <c r="D604" s="7"/>
      <c r="E604" s="2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22"/>
      <c r="B605" s="7"/>
      <c r="C605" s="7"/>
      <c r="D605" s="7"/>
      <c r="E605" s="2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22"/>
      <c r="B606" s="7"/>
      <c r="C606" s="7"/>
      <c r="D606" s="7"/>
      <c r="E606" s="2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22"/>
      <c r="B607" s="7"/>
      <c r="C607" s="7"/>
      <c r="D607" s="7"/>
      <c r="E607" s="2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22"/>
      <c r="B608" s="7"/>
      <c r="C608" s="7"/>
      <c r="D608" s="7"/>
      <c r="E608" s="2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22"/>
      <c r="B609" s="7"/>
      <c r="C609" s="7"/>
      <c r="D609" s="7"/>
      <c r="E609" s="2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22"/>
      <c r="B610" s="7"/>
      <c r="C610" s="7"/>
      <c r="D610" s="7"/>
      <c r="E610" s="2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22"/>
      <c r="B611" s="7"/>
      <c r="C611" s="7"/>
      <c r="D611" s="7"/>
      <c r="E611" s="2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22"/>
      <c r="B612" s="7"/>
      <c r="C612" s="7"/>
      <c r="D612" s="7"/>
      <c r="E612" s="2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22"/>
      <c r="B613" s="7"/>
      <c r="C613" s="7"/>
      <c r="D613" s="7"/>
      <c r="E613" s="2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22"/>
      <c r="B614" s="7"/>
      <c r="C614" s="7"/>
      <c r="D614" s="7"/>
      <c r="E614" s="2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22"/>
      <c r="B615" s="7"/>
      <c r="C615" s="7"/>
      <c r="D615" s="7"/>
      <c r="E615" s="2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22"/>
      <c r="B616" s="7"/>
      <c r="C616" s="7"/>
      <c r="D616" s="7"/>
      <c r="E616" s="2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22"/>
      <c r="B617" s="7"/>
      <c r="C617" s="7"/>
      <c r="D617" s="7"/>
      <c r="E617" s="2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22"/>
      <c r="B618" s="7"/>
      <c r="C618" s="7"/>
      <c r="D618" s="7"/>
      <c r="E618" s="2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22"/>
      <c r="B619" s="7"/>
      <c r="C619" s="7"/>
      <c r="D619" s="7"/>
      <c r="E619" s="2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22"/>
      <c r="B620" s="7"/>
      <c r="C620" s="7"/>
      <c r="D620" s="7"/>
      <c r="E620" s="2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22"/>
      <c r="B621" s="7"/>
      <c r="C621" s="7"/>
      <c r="D621" s="7"/>
      <c r="E621" s="2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22"/>
      <c r="B622" s="7"/>
      <c r="C622" s="7"/>
      <c r="D622" s="7"/>
      <c r="E622" s="2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22"/>
      <c r="B623" s="7"/>
      <c r="C623" s="7"/>
      <c r="D623" s="7"/>
      <c r="E623" s="2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22"/>
      <c r="B624" s="7"/>
      <c r="C624" s="7"/>
      <c r="D624" s="7"/>
      <c r="E624" s="2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22"/>
      <c r="B625" s="7"/>
      <c r="C625" s="7"/>
      <c r="D625" s="7"/>
      <c r="E625" s="2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22"/>
      <c r="B626" s="7"/>
      <c r="C626" s="7"/>
      <c r="D626" s="7"/>
      <c r="E626" s="2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22"/>
      <c r="B627" s="7"/>
      <c r="C627" s="7"/>
      <c r="D627" s="7"/>
      <c r="E627" s="2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22"/>
      <c r="B628" s="7"/>
      <c r="C628" s="7"/>
      <c r="D628" s="7"/>
      <c r="E628" s="2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22"/>
      <c r="B629" s="7"/>
      <c r="C629" s="7"/>
      <c r="D629" s="7"/>
      <c r="E629" s="2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22"/>
      <c r="B630" s="7"/>
      <c r="C630" s="7"/>
      <c r="D630" s="7"/>
      <c r="E630" s="2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22"/>
      <c r="B631" s="7"/>
      <c r="C631" s="7"/>
      <c r="D631" s="7"/>
      <c r="E631" s="2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22"/>
      <c r="B632" s="7"/>
      <c r="C632" s="7"/>
      <c r="D632" s="7"/>
      <c r="E632" s="2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22"/>
      <c r="B633" s="7"/>
      <c r="C633" s="7"/>
      <c r="D633" s="7"/>
      <c r="E633" s="2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22"/>
      <c r="B634" s="7"/>
      <c r="C634" s="7"/>
      <c r="D634" s="7"/>
      <c r="E634" s="2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22"/>
      <c r="B635" s="7"/>
      <c r="C635" s="7"/>
      <c r="D635" s="7"/>
      <c r="E635" s="2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22"/>
      <c r="B636" s="7"/>
      <c r="C636" s="7"/>
      <c r="D636" s="7"/>
      <c r="E636" s="2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22"/>
      <c r="B637" s="7"/>
      <c r="C637" s="7"/>
      <c r="D637" s="7"/>
      <c r="E637" s="2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22"/>
      <c r="B638" s="7"/>
      <c r="C638" s="7"/>
      <c r="D638" s="7"/>
      <c r="E638" s="2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22"/>
      <c r="B639" s="7"/>
      <c r="C639" s="7"/>
      <c r="D639" s="7"/>
      <c r="E639" s="2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22"/>
      <c r="B640" s="7"/>
      <c r="C640" s="7"/>
      <c r="D640" s="7"/>
      <c r="E640" s="2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22"/>
      <c r="B641" s="7"/>
      <c r="C641" s="7"/>
      <c r="D641" s="7"/>
      <c r="E641" s="2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22"/>
      <c r="B642" s="7"/>
      <c r="C642" s="7"/>
      <c r="D642" s="7"/>
      <c r="E642" s="2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22"/>
      <c r="B643" s="7"/>
      <c r="C643" s="7"/>
      <c r="D643" s="7"/>
      <c r="E643" s="2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22"/>
      <c r="B644" s="7"/>
      <c r="C644" s="7"/>
      <c r="D644" s="7"/>
      <c r="E644" s="2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22"/>
      <c r="B645" s="7"/>
      <c r="C645" s="7"/>
      <c r="D645" s="7"/>
      <c r="E645" s="2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22"/>
      <c r="B646" s="7"/>
      <c r="C646" s="7"/>
      <c r="D646" s="7"/>
      <c r="E646" s="2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22"/>
      <c r="B647" s="7"/>
      <c r="C647" s="7"/>
      <c r="D647" s="7"/>
      <c r="E647" s="2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22"/>
      <c r="B648" s="7"/>
      <c r="C648" s="7"/>
      <c r="D648" s="7"/>
      <c r="E648" s="2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22"/>
      <c r="B649" s="7"/>
      <c r="C649" s="7"/>
      <c r="D649" s="7"/>
      <c r="E649" s="2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22"/>
      <c r="B650" s="7"/>
      <c r="C650" s="7"/>
      <c r="D650" s="7"/>
      <c r="E650" s="2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22"/>
      <c r="B651" s="7"/>
      <c r="C651" s="7"/>
      <c r="D651" s="7"/>
      <c r="E651" s="2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22"/>
      <c r="B652" s="7"/>
      <c r="C652" s="7"/>
      <c r="D652" s="7"/>
      <c r="E652" s="2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22"/>
      <c r="B653" s="7"/>
      <c r="C653" s="7"/>
      <c r="D653" s="7"/>
      <c r="E653" s="2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22"/>
      <c r="B654" s="7"/>
      <c r="C654" s="7"/>
      <c r="D654" s="7"/>
      <c r="E654" s="2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22"/>
      <c r="B655" s="7"/>
      <c r="C655" s="7"/>
      <c r="D655" s="7"/>
      <c r="E655" s="2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22"/>
      <c r="B656" s="7"/>
      <c r="C656" s="7"/>
      <c r="D656" s="7"/>
      <c r="E656" s="2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22"/>
      <c r="B657" s="7"/>
      <c r="C657" s="7"/>
      <c r="D657" s="7"/>
      <c r="E657" s="2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22"/>
      <c r="B658" s="7"/>
      <c r="C658" s="7"/>
      <c r="D658" s="7"/>
      <c r="E658" s="2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22"/>
      <c r="B659" s="7"/>
      <c r="C659" s="7"/>
      <c r="D659" s="7"/>
      <c r="E659" s="2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22"/>
      <c r="B660" s="7"/>
      <c r="C660" s="7"/>
      <c r="D660" s="7"/>
      <c r="E660" s="2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22"/>
      <c r="B661" s="7"/>
      <c r="C661" s="7"/>
      <c r="D661" s="7"/>
      <c r="E661" s="2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22"/>
      <c r="B662" s="7"/>
      <c r="C662" s="7"/>
      <c r="D662" s="7"/>
      <c r="E662" s="2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22"/>
      <c r="B663" s="7"/>
      <c r="C663" s="7"/>
      <c r="D663" s="7"/>
      <c r="E663" s="2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22"/>
      <c r="B664" s="7"/>
      <c r="C664" s="7"/>
      <c r="D664" s="7"/>
      <c r="E664" s="2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22"/>
      <c r="B665" s="7"/>
      <c r="C665" s="7"/>
      <c r="D665" s="7"/>
      <c r="E665" s="2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22"/>
      <c r="B666" s="7"/>
      <c r="C666" s="7"/>
      <c r="D666" s="7"/>
      <c r="E666" s="2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22"/>
      <c r="B667" s="7"/>
      <c r="C667" s="7"/>
      <c r="D667" s="7"/>
      <c r="E667" s="2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22"/>
      <c r="B668" s="7"/>
      <c r="C668" s="7"/>
      <c r="D668" s="7"/>
      <c r="E668" s="2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22"/>
      <c r="B669" s="7"/>
      <c r="C669" s="7"/>
      <c r="D669" s="7"/>
      <c r="E669" s="2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22"/>
      <c r="B670" s="7"/>
      <c r="C670" s="7"/>
      <c r="D670" s="7"/>
      <c r="E670" s="2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22"/>
      <c r="B671" s="7"/>
      <c r="C671" s="7"/>
      <c r="D671" s="7"/>
      <c r="E671" s="2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22"/>
      <c r="B672" s="7"/>
      <c r="C672" s="7"/>
      <c r="D672" s="7"/>
      <c r="E672" s="2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22"/>
      <c r="B673" s="7"/>
      <c r="C673" s="7"/>
      <c r="D673" s="7"/>
      <c r="E673" s="2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22"/>
      <c r="B674" s="7"/>
      <c r="C674" s="7"/>
      <c r="D674" s="7"/>
      <c r="E674" s="2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22"/>
      <c r="B675" s="7"/>
      <c r="C675" s="7"/>
      <c r="D675" s="7"/>
      <c r="E675" s="2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22"/>
      <c r="B676" s="7"/>
      <c r="C676" s="7"/>
      <c r="D676" s="7"/>
      <c r="E676" s="2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22"/>
      <c r="B677" s="7"/>
      <c r="C677" s="7"/>
      <c r="D677" s="7"/>
      <c r="E677" s="2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22"/>
      <c r="B678" s="7"/>
      <c r="C678" s="7"/>
      <c r="D678" s="7"/>
      <c r="E678" s="2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22"/>
      <c r="B679" s="7"/>
      <c r="C679" s="7"/>
      <c r="D679" s="7"/>
      <c r="E679" s="2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22"/>
      <c r="B680" s="7"/>
      <c r="C680" s="7"/>
      <c r="D680" s="7"/>
      <c r="E680" s="2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22"/>
      <c r="B681" s="7"/>
      <c r="C681" s="7"/>
      <c r="D681" s="7"/>
      <c r="E681" s="2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22"/>
      <c r="B682" s="7"/>
      <c r="C682" s="7"/>
      <c r="D682" s="7"/>
      <c r="E682" s="2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22"/>
      <c r="B683" s="7"/>
      <c r="C683" s="7"/>
      <c r="D683" s="7"/>
      <c r="E683" s="2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22"/>
      <c r="B684" s="7"/>
      <c r="C684" s="7"/>
      <c r="D684" s="7"/>
      <c r="E684" s="2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22"/>
      <c r="B685" s="7"/>
      <c r="C685" s="7"/>
      <c r="D685" s="7"/>
      <c r="E685" s="2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22"/>
      <c r="B686" s="7"/>
      <c r="C686" s="7"/>
      <c r="D686" s="7"/>
      <c r="E686" s="2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22"/>
      <c r="B687" s="7"/>
      <c r="C687" s="7"/>
      <c r="D687" s="7"/>
      <c r="E687" s="2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22"/>
      <c r="B688" s="7"/>
      <c r="C688" s="7"/>
      <c r="D688" s="7"/>
      <c r="E688" s="2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22"/>
      <c r="B689" s="7"/>
      <c r="C689" s="7"/>
      <c r="D689" s="7"/>
      <c r="E689" s="2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22"/>
      <c r="B690" s="7"/>
      <c r="C690" s="7"/>
      <c r="D690" s="7"/>
      <c r="E690" s="2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22"/>
      <c r="B691" s="7"/>
      <c r="C691" s="7"/>
      <c r="D691" s="7"/>
      <c r="E691" s="2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22"/>
      <c r="B692" s="7"/>
      <c r="C692" s="7"/>
      <c r="D692" s="7"/>
      <c r="E692" s="2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22"/>
      <c r="B693" s="7"/>
      <c r="C693" s="7"/>
      <c r="D693" s="7"/>
      <c r="E693" s="2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22"/>
      <c r="B694" s="7"/>
      <c r="C694" s="7"/>
      <c r="D694" s="7"/>
      <c r="E694" s="2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22"/>
      <c r="B695" s="7"/>
      <c r="C695" s="7"/>
      <c r="D695" s="7"/>
      <c r="E695" s="2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22"/>
      <c r="B696" s="7"/>
      <c r="C696" s="7"/>
      <c r="D696" s="7"/>
      <c r="E696" s="2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22"/>
      <c r="B697" s="7"/>
      <c r="C697" s="7"/>
      <c r="D697" s="7"/>
      <c r="E697" s="2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22"/>
      <c r="B698" s="7"/>
      <c r="C698" s="7"/>
      <c r="D698" s="7"/>
      <c r="E698" s="2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22"/>
      <c r="B699" s="7"/>
      <c r="C699" s="7"/>
      <c r="D699" s="7"/>
      <c r="E699" s="2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22"/>
      <c r="B700" s="7"/>
      <c r="C700" s="7"/>
      <c r="D700" s="7"/>
      <c r="E700" s="2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22"/>
      <c r="B701" s="7"/>
      <c r="C701" s="7"/>
      <c r="D701" s="7"/>
      <c r="E701" s="2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22"/>
      <c r="B702" s="7"/>
      <c r="C702" s="7"/>
      <c r="D702" s="7"/>
      <c r="E702" s="2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22"/>
      <c r="B703" s="7"/>
      <c r="C703" s="7"/>
      <c r="D703" s="7"/>
      <c r="E703" s="2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22"/>
      <c r="B704" s="7"/>
      <c r="C704" s="7"/>
      <c r="D704" s="7"/>
      <c r="E704" s="2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22"/>
      <c r="B705" s="7"/>
      <c r="C705" s="7"/>
      <c r="D705" s="7"/>
      <c r="E705" s="2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22"/>
      <c r="B706" s="7"/>
      <c r="C706" s="7"/>
      <c r="D706" s="7"/>
      <c r="E706" s="2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22"/>
      <c r="B707" s="7"/>
      <c r="C707" s="7"/>
      <c r="D707" s="7"/>
      <c r="E707" s="2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22"/>
      <c r="B708" s="7"/>
      <c r="C708" s="7"/>
      <c r="D708" s="7"/>
      <c r="E708" s="2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22"/>
      <c r="B709" s="7"/>
      <c r="C709" s="7"/>
      <c r="D709" s="7"/>
      <c r="E709" s="2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22"/>
      <c r="B710" s="7"/>
      <c r="C710" s="7"/>
      <c r="D710" s="7"/>
      <c r="E710" s="2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22"/>
      <c r="B711" s="7"/>
      <c r="C711" s="7"/>
      <c r="D711" s="7"/>
      <c r="E711" s="2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22"/>
      <c r="B712" s="7"/>
      <c r="C712" s="7"/>
      <c r="D712" s="7"/>
      <c r="E712" s="2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22"/>
      <c r="B713" s="7"/>
      <c r="C713" s="7"/>
      <c r="D713" s="7"/>
      <c r="E713" s="2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22"/>
      <c r="B714" s="7"/>
      <c r="C714" s="7"/>
      <c r="D714" s="7"/>
      <c r="E714" s="2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22"/>
      <c r="B715" s="7"/>
      <c r="C715" s="7"/>
      <c r="D715" s="7"/>
      <c r="E715" s="2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22"/>
      <c r="B716" s="7"/>
      <c r="C716" s="7"/>
      <c r="D716" s="7"/>
      <c r="E716" s="2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22"/>
      <c r="B717" s="7"/>
      <c r="C717" s="7"/>
      <c r="D717" s="7"/>
      <c r="E717" s="2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22"/>
      <c r="B718" s="7"/>
      <c r="C718" s="7"/>
      <c r="D718" s="7"/>
      <c r="E718" s="2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22"/>
      <c r="B719" s="7"/>
      <c r="C719" s="7"/>
      <c r="D719" s="7"/>
      <c r="E719" s="2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22"/>
      <c r="B720" s="7"/>
      <c r="C720" s="7"/>
      <c r="D720" s="7"/>
      <c r="E720" s="2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22"/>
      <c r="B721" s="7"/>
      <c r="C721" s="7"/>
      <c r="D721" s="7"/>
      <c r="E721" s="2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22"/>
      <c r="B722" s="7"/>
      <c r="C722" s="7"/>
      <c r="D722" s="7"/>
      <c r="E722" s="2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22"/>
      <c r="B723" s="7"/>
      <c r="C723" s="7"/>
      <c r="D723" s="7"/>
      <c r="E723" s="2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22"/>
      <c r="B724" s="7"/>
      <c r="C724" s="7"/>
      <c r="D724" s="7"/>
      <c r="E724" s="2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22"/>
      <c r="B725" s="7"/>
      <c r="C725" s="7"/>
      <c r="D725" s="7"/>
      <c r="E725" s="2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22"/>
      <c r="B726" s="7"/>
      <c r="C726" s="7"/>
      <c r="D726" s="7"/>
      <c r="E726" s="2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22"/>
      <c r="B727" s="7"/>
      <c r="C727" s="7"/>
      <c r="D727" s="7"/>
      <c r="E727" s="2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22"/>
      <c r="B728" s="7"/>
      <c r="C728" s="7"/>
      <c r="D728" s="7"/>
      <c r="E728" s="2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22"/>
      <c r="B729" s="7"/>
      <c r="C729" s="7"/>
      <c r="D729" s="7"/>
      <c r="E729" s="2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22"/>
      <c r="B730" s="7"/>
      <c r="C730" s="7"/>
      <c r="D730" s="7"/>
      <c r="E730" s="2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22"/>
      <c r="B731" s="7"/>
      <c r="C731" s="7"/>
      <c r="D731" s="7"/>
      <c r="E731" s="2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22"/>
      <c r="B732" s="7"/>
      <c r="C732" s="7"/>
      <c r="D732" s="7"/>
      <c r="E732" s="2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22"/>
      <c r="B733" s="7"/>
      <c r="C733" s="7"/>
      <c r="D733" s="7"/>
      <c r="E733" s="2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22"/>
      <c r="B734" s="7"/>
      <c r="C734" s="7"/>
      <c r="D734" s="7"/>
      <c r="E734" s="2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22"/>
      <c r="B735" s="7"/>
      <c r="C735" s="7"/>
      <c r="D735" s="7"/>
      <c r="E735" s="2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22"/>
      <c r="B736" s="7"/>
      <c r="C736" s="7"/>
      <c r="D736" s="7"/>
      <c r="E736" s="2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22"/>
      <c r="B737" s="7"/>
      <c r="C737" s="7"/>
      <c r="D737" s="7"/>
      <c r="E737" s="2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22"/>
      <c r="B738" s="7"/>
      <c r="C738" s="7"/>
      <c r="D738" s="7"/>
      <c r="E738" s="2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22"/>
      <c r="B739" s="7"/>
      <c r="C739" s="7"/>
      <c r="D739" s="7"/>
      <c r="E739" s="2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22"/>
      <c r="B740" s="7"/>
      <c r="C740" s="7"/>
      <c r="D740" s="7"/>
      <c r="E740" s="2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22"/>
      <c r="B741" s="7"/>
      <c r="C741" s="7"/>
      <c r="D741" s="7"/>
      <c r="E741" s="2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22"/>
      <c r="B742" s="7"/>
      <c r="C742" s="7"/>
      <c r="D742" s="7"/>
      <c r="E742" s="2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22"/>
      <c r="B743" s="7"/>
      <c r="C743" s="7"/>
      <c r="D743" s="7"/>
      <c r="E743" s="2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22"/>
      <c r="B744" s="7"/>
      <c r="C744" s="7"/>
      <c r="D744" s="7"/>
      <c r="E744" s="2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22"/>
      <c r="B745" s="7"/>
      <c r="C745" s="7"/>
      <c r="D745" s="7"/>
      <c r="E745" s="2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22"/>
      <c r="B746" s="7"/>
      <c r="C746" s="7"/>
      <c r="D746" s="7"/>
      <c r="E746" s="2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22"/>
      <c r="B747" s="7"/>
      <c r="C747" s="7"/>
      <c r="D747" s="7"/>
      <c r="E747" s="2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22"/>
      <c r="B748" s="7"/>
      <c r="C748" s="7"/>
      <c r="D748" s="7"/>
      <c r="E748" s="2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22"/>
      <c r="B749" s="7"/>
      <c r="C749" s="7"/>
      <c r="D749" s="7"/>
      <c r="E749" s="2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22"/>
      <c r="B750" s="7"/>
      <c r="C750" s="7"/>
      <c r="D750" s="7"/>
      <c r="E750" s="2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22"/>
      <c r="B751" s="7"/>
      <c r="C751" s="7"/>
      <c r="D751" s="7"/>
      <c r="E751" s="2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22"/>
      <c r="B752" s="7"/>
      <c r="C752" s="7"/>
      <c r="D752" s="7"/>
      <c r="E752" s="2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22"/>
      <c r="B753" s="7"/>
      <c r="C753" s="7"/>
      <c r="D753" s="7"/>
      <c r="E753" s="2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22"/>
      <c r="B754" s="7"/>
      <c r="C754" s="7"/>
      <c r="D754" s="7"/>
      <c r="E754" s="2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22"/>
      <c r="B755" s="7"/>
      <c r="C755" s="7"/>
      <c r="D755" s="7"/>
      <c r="E755" s="2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22"/>
      <c r="B756" s="7"/>
      <c r="C756" s="7"/>
      <c r="D756" s="7"/>
      <c r="E756" s="2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22"/>
      <c r="B757" s="7"/>
      <c r="C757" s="7"/>
      <c r="D757" s="7"/>
      <c r="E757" s="2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22"/>
      <c r="B758" s="7"/>
      <c r="C758" s="7"/>
      <c r="D758" s="7"/>
      <c r="E758" s="2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22"/>
      <c r="B759" s="7"/>
      <c r="C759" s="7"/>
      <c r="D759" s="7"/>
      <c r="E759" s="2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22"/>
      <c r="B760" s="7"/>
      <c r="C760" s="7"/>
      <c r="D760" s="7"/>
      <c r="E760" s="2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22"/>
      <c r="B761" s="7"/>
      <c r="C761" s="7"/>
      <c r="D761" s="7"/>
      <c r="E761" s="2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22"/>
      <c r="B762" s="7"/>
      <c r="C762" s="7"/>
      <c r="D762" s="7"/>
      <c r="E762" s="2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22"/>
      <c r="B763" s="7"/>
      <c r="C763" s="7"/>
      <c r="D763" s="7"/>
      <c r="E763" s="2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22"/>
      <c r="B764" s="7"/>
      <c r="C764" s="7"/>
      <c r="D764" s="7"/>
      <c r="E764" s="2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22"/>
      <c r="B765" s="7"/>
      <c r="C765" s="7"/>
      <c r="D765" s="7"/>
      <c r="E765" s="2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22"/>
      <c r="B766" s="7"/>
      <c r="C766" s="7"/>
      <c r="D766" s="7"/>
      <c r="E766" s="2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22"/>
      <c r="B767" s="7"/>
      <c r="C767" s="7"/>
      <c r="D767" s="7"/>
      <c r="E767" s="2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22"/>
      <c r="B768" s="7"/>
      <c r="C768" s="7"/>
      <c r="D768" s="7"/>
      <c r="E768" s="2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22"/>
      <c r="B769" s="7"/>
      <c r="C769" s="7"/>
      <c r="D769" s="7"/>
      <c r="E769" s="2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22"/>
      <c r="B770" s="7"/>
      <c r="C770" s="7"/>
      <c r="D770" s="7"/>
      <c r="E770" s="2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22"/>
      <c r="B771" s="7"/>
      <c r="C771" s="7"/>
      <c r="D771" s="7"/>
      <c r="E771" s="2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22"/>
      <c r="B772" s="7"/>
      <c r="C772" s="7"/>
      <c r="D772" s="7"/>
      <c r="E772" s="2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22"/>
      <c r="B773" s="7"/>
      <c r="C773" s="7"/>
      <c r="D773" s="7"/>
      <c r="E773" s="2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22"/>
      <c r="B774" s="7"/>
      <c r="C774" s="7"/>
      <c r="D774" s="7"/>
      <c r="E774" s="2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22"/>
      <c r="B775" s="7"/>
      <c r="C775" s="7"/>
      <c r="D775" s="7"/>
      <c r="E775" s="2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22"/>
      <c r="B776" s="7"/>
      <c r="C776" s="7"/>
      <c r="D776" s="7"/>
      <c r="E776" s="2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22"/>
      <c r="B777" s="7"/>
      <c r="C777" s="7"/>
      <c r="D777" s="7"/>
      <c r="E777" s="2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22"/>
      <c r="B778" s="7"/>
      <c r="C778" s="7"/>
      <c r="D778" s="7"/>
      <c r="E778" s="2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22"/>
      <c r="B779" s="7"/>
      <c r="C779" s="7"/>
      <c r="D779" s="7"/>
      <c r="E779" s="2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22"/>
      <c r="B780" s="7"/>
      <c r="C780" s="7"/>
      <c r="D780" s="7"/>
      <c r="E780" s="2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22"/>
      <c r="B781" s="7"/>
      <c r="C781" s="7"/>
      <c r="D781" s="7"/>
      <c r="E781" s="2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22"/>
      <c r="B782" s="7"/>
      <c r="C782" s="7"/>
      <c r="D782" s="7"/>
      <c r="E782" s="2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22"/>
      <c r="B783" s="7"/>
      <c r="C783" s="7"/>
      <c r="D783" s="7"/>
      <c r="E783" s="2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22"/>
      <c r="B784" s="7"/>
      <c r="C784" s="7"/>
      <c r="D784" s="7"/>
      <c r="E784" s="2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22"/>
      <c r="B785" s="7"/>
      <c r="C785" s="7"/>
      <c r="D785" s="7"/>
      <c r="E785" s="2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22"/>
      <c r="B786" s="7"/>
      <c r="C786" s="7"/>
      <c r="D786" s="7"/>
      <c r="E786" s="2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22"/>
      <c r="B787" s="7"/>
      <c r="C787" s="7"/>
      <c r="D787" s="7"/>
      <c r="E787" s="2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22"/>
      <c r="B788" s="7"/>
      <c r="C788" s="7"/>
      <c r="D788" s="7"/>
      <c r="E788" s="2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22"/>
      <c r="B789" s="7"/>
      <c r="C789" s="7"/>
      <c r="D789" s="7"/>
      <c r="E789" s="2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22"/>
      <c r="B790" s="7"/>
      <c r="C790" s="7"/>
      <c r="D790" s="7"/>
      <c r="E790" s="2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22"/>
      <c r="B791" s="7"/>
      <c r="C791" s="7"/>
      <c r="D791" s="7"/>
      <c r="E791" s="2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22"/>
      <c r="B792" s="7"/>
      <c r="C792" s="7"/>
      <c r="D792" s="7"/>
      <c r="E792" s="2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22"/>
      <c r="B793" s="7"/>
      <c r="C793" s="7"/>
      <c r="D793" s="7"/>
      <c r="E793" s="2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22"/>
      <c r="B794" s="7"/>
      <c r="C794" s="7"/>
      <c r="D794" s="7"/>
      <c r="E794" s="2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22"/>
      <c r="B795" s="7"/>
      <c r="C795" s="7"/>
      <c r="D795" s="7"/>
      <c r="E795" s="2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22"/>
      <c r="B796" s="7"/>
      <c r="C796" s="7"/>
      <c r="D796" s="7"/>
      <c r="E796" s="2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22"/>
      <c r="B797" s="7"/>
      <c r="C797" s="7"/>
      <c r="D797" s="7"/>
      <c r="E797" s="2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22"/>
      <c r="B798" s="7"/>
      <c r="C798" s="7"/>
      <c r="D798" s="7"/>
      <c r="E798" s="2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22"/>
      <c r="B799" s="7"/>
      <c r="C799" s="7"/>
      <c r="D799" s="7"/>
      <c r="E799" s="2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22"/>
      <c r="B800" s="7"/>
      <c r="C800" s="7"/>
      <c r="D800" s="7"/>
      <c r="E800" s="2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22"/>
      <c r="B801" s="7"/>
      <c r="C801" s="7"/>
      <c r="D801" s="7"/>
      <c r="E801" s="2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22"/>
      <c r="B802" s="7"/>
      <c r="C802" s="7"/>
      <c r="D802" s="7"/>
      <c r="E802" s="2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22"/>
      <c r="B803" s="7"/>
      <c r="C803" s="7"/>
      <c r="D803" s="7"/>
      <c r="E803" s="2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22"/>
      <c r="B804" s="7"/>
      <c r="C804" s="7"/>
      <c r="D804" s="7"/>
      <c r="E804" s="2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22"/>
      <c r="B805" s="7"/>
      <c r="C805" s="7"/>
      <c r="D805" s="7"/>
      <c r="E805" s="2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22"/>
      <c r="B806" s="7"/>
      <c r="C806" s="7"/>
      <c r="D806" s="7"/>
      <c r="E806" s="2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22"/>
      <c r="B807" s="7"/>
      <c r="C807" s="7"/>
      <c r="D807" s="7"/>
      <c r="E807" s="2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22"/>
      <c r="B808" s="7"/>
      <c r="C808" s="7"/>
      <c r="D808" s="7"/>
      <c r="E808" s="2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22"/>
      <c r="B809" s="7"/>
      <c r="C809" s="7"/>
      <c r="D809" s="7"/>
      <c r="E809" s="2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22"/>
      <c r="B810" s="7"/>
      <c r="C810" s="7"/>
      <c r="D810" s="7"/>
      <c r="E810" s="2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22"/>
      <c r="B811" s="7"/>
      <c r="C811" s="7"/>
      <c r="D811" s="7"/>
      <c r="E811" s="2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22"/>
      <c r="B812" s="7"/>
      <c r="C812" s="7"/>
      <c r="D812" s="7"/>
      <c r="E812" s="2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22"/>
      <c r="B813" s="7"/>
      <c r="C813" s="7"/>
      <c r="D813" s="7"/>
      <c r="E813" s="2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22"/>
      <c r="B814" s="7"/>
      <c r="C814" s="7"/>
      <c r="D814" s="7"/>
      <c r="E814" s="2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22"/>
      <c r="B815" s="7"/>
      <c r="C815" s="7"/>
      <c r="D815" s="7"/>
      <c r="E815" s="2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22"/>
      <c r="B816" s="7"/>
      <c r="C816" s="7"/>
      <c r="D816" s="7"/>
      <c r="E816" s="2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22"/>
      <c r="B817" s="7"/>
      <c r="C817" s="7"/>
      <c r="D817" s="7"/>
      <c r="E817" s="2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22"/>
      <c r="B818" s="7"/>
      <c r="C818" s="7"/>
      <c r="D818" s="7"/>
      <c r="E818" s="2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22"/>
      <c r="B819" s="7"/>
      <c r="C819" s="7"/>
      <c r="D819" s="7"/>
      <c r="E819" s="2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22"/>
      <c r="B820" s="7"/>
      <c r="C820" s="7"/>
      <c r="D820" s="7"/>
      <c r="E820" s="2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22"/>
      <c r="B821" s="7"/>
      <c r="C821" s="7"/>
      <c r="D821" s="7"/>
      <c r="E821" s="2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22"/>
      <c r="B822" s="7"/>
      <c r="C822" s="7"/>
      <c r="D822" s="7"/>
      <c r="E822" s="2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22"/>
      <c r="B823" s="7"/>
      <c r="C823" s="7"/>
      <c r="D823" s="7"/>
      <c r="E823" s="2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22"/>
      <c r="B824" s="7"/>
      <c r="C824" s="7"/>
      <c r="D824" s="7"/>
      <c r="E824" s="2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22"/>
      <c r="B825" s="7"/>
      <c r="C825" s="7"/>
      <c r="D825" s="7"/>
      <c r="E825" s="2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22"/>
      <c r="B826" s="7"/>
      <c r="C826" s="7"/>
      <c r="D826" s="7"/>
      <c r="E826" s="2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22"/>
      <c r="B827" s="7"/>
      <c r="C827" s="7"/>
      <c r="D827" s="7"/>
      <c r="E827" s="2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22"/>
      <c r="B828" s="7"/>
      <c r="C828" s="7"/>
      <c r="D828" s="7"/>
      <c r="E828" s="2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22"/>
      <c r="B829" s="7"/>
      <c r="C829" s="7"/>
      <c r="D829" s="7"/>
      <c r="E829" s="2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22"/>
      <c r="B830" s="7"/>
      <c r="C830" s="7"/>
      <c r="D830" s="7"/>
      <c r="E830" s="2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22"/>
      <c r="B831" s="7"/>
      <c r="C831" s="7"/>
      <c r="D831" s="7"/>
      <c r="E831" s="2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22"/>
      <c r="B832" s="7"/>
      <c r="C832" s="7"/>
      <c r="D832" s="7"/>
      <c r="E832" s="2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22"/>
      <c r="B833" s="7"/>
      <c r="C833" s="7"/>
      <c r="D833" s="7"/>
      <c r="E833" s="2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22"/>
      <c r="B834" s="7"/>
      <c r="C834" s="7"/>
      <c r="D834" s="7"/>
      <c r="E834" s="2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22"/>
      <c r="B835" s="7"/>
      <c r="C835" s="7"/>
      <c r="D835" s="7"/>
      <c r="E835" s="2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22"/>
      <c r="B836" s="7"/>
      <c r="C836" s="7"/>
      <c r="D836" s="7"/>
      <c r="E836" s="2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22"/>
      <c r="B837" s="7"/>
      <c r="C837" s="7"/>
      <c r="D837" s="7"/>
      <c r="E837" s="2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22"/>
      <c r="B838" s="7"/>
      <c r="C838" s="7"/>
      <c r="D838" s="7"/>
      <c r="E838" s="2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22"/>
      <c r="B839" s="7"/>
      <c r="C839" s="7"/>
      <c r="D839" s="7"/>
      <c r="E839" s="2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22"/>
      <c r="B840" s="7"/>
      <c r="C840" s="7"/>
      <c r="D840" s="7"/>
      <c r="E840" s="2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22"/>
      <c r="B841" s="7"/>
      <c r="C841" s="7"/>
      <c r="D841" s="7"/>
      <c r="E841" s="2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22"/>
      <c r="B842" s="7"/>
      <c r="C842" s="7"/>
      <c r="D842" s="7"/>
      <c r="E842" s="2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22"/>
      <c r="B843" s="7"/>
      <c r="C843" s="7"/>
      <c r="D843" s="7"/>
      <c r="E843" s="2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22"/>
      <c r="B844" s="7"/>
      <c r="C844" s="7"/>
      <c r="D844" s="7"/>
      <c r="E844" s="2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22"/>
      <c r="B845" s="7"/>
      <c r="C845" s="7"/>
      <c r="D845" s="7"/>
      <c r="E845" s="2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22"/>
      <c r="B846" s="7"/>
      <c r="C846" s="7"/>
      <c r="D846" s="7"/>
      <c r="E846" s="2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22"/>
      <c r="B847" s="7"/>
      <c r="C847" s="7"/>
      <c r="D847" s="7"/>
      <c r="E847" s="2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22"/>
      <c r="B848" s="7"/>
      <c r="C848" s="7"/>
      <c r="D848" s="7"/>
      <c r="E848" s="2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22"/>
      <c r="B849" s="7"/>
      <c r="C849" s="7"/>
      <c r="D849" s="7"/>
      <c r="E849" s="2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22"/>
      <c r="B850" s="7"/>
      <c r="C850" s="7"/>
      <c r="D850" s="7"/>
      <c r="E850" s="2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22"/>
      <c r="B851" s="7"/>
      <c r="C851" s="7"/>
      <c r="D851" s="7"/>
      <c r="E851" s="2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22"/>
      <c r="B852" s="7"/>
      <c r="C852" s="7"/>
      <c r="D852" s="7"/>
      <c r="E852" s="2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22"/>
      <c r="B853" s="7"/>
      <c r="C853" s="7"/>
      <c r="D853" s="7"/>
      <c r="E853" s="2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22"/>
      <c r="B854" s="7"/>
      <c r="C854" s="7"/>
      <c r="D854" s="7"/>
      <c r="E854" s="2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22"/>
      <c r="B855" s="7"/>
      <c r="C855" s="7"/>
      <c r="D855" s="7"/>
      <c r="E855" s="2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22"/>
      <c r="B856" s="7"/>
      <c r="C856" s="7"/>
      <c r="D856" s="7"/>
      <c r="E856" s="2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22"/>
      <c r="B857" s="7"/>
      <c r="C857" s="7"/>
      <c r="D857" s="7"/>
      <c r="E857" s="2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22"/>
      <c r="B858" s="7"/>
      <c r="C858" s="7"/>
      <c r="D858" s="7"/>
      <c r="E858" s="2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22"/>
      <c r="B859" s="7"/>
      <c r="C859" s="7"/>
      <c r="D859" s="7"/>
      <c r="E859" s="2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22"/>
      <c r="B860" s="7"/>
      <c r="C860" s="7"/>
      <c r="D860" s="7"/>
      <c r="E860" s="2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22"/>
      <c r="B861" s="7"/>
      <c r="C861" s="7"/>
      <c r="D861" s="7"/>
      <c r="E861" s="2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22"/>
      <c r="B862" s="7"/>
      <c r="C862" s="7"/>
      <c r="D862" s="7"/>
      <c r="E862" s="2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22"/>
      <c r="B863" s="7"/>
      <c r="C863" s="7"/>
      <c r="D863" s="7"/>
      <c r="E863" s="2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22"/>
      <c r="B864" s="7"/>
      <c r="C864" s="7"/>
      <c r="D864" s="7"/>
      <c r="E864" s="2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22"/>
      <c r="B865" s="7"/>
      <c r="C865" s="7"/>
      <c r="D865" s="7"/>
      <c r="E865" s="2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22"/>
      <c r="B866" s="7"/>
      <c r="C866" s="7"/>
      <c r="D866" s="7"/>
      <c r="E866" s="2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22"/>
      <c r="B867" s="7"/>
      <c r="C867" s="7"/>
      <c r="D867" s="7"/>
      <c r="E867" s="2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22"/>
      <c r="B868" s="7"/>
      <c r="C868" s="7"/>
      <c r="D868" s="7"/>
      <c r="E868" s="2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22"/>
      <c r="B869" s="7"/>
      <c r="C869" s="7"/>
      <c r="D869" s="7"/>
      <c r="E869" s="2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22"/>
      <c r="B870" s="7"/>
      <c r="C870" s="7"/>
      <c r="D870" s="7"/>
      <c r="E870" s="2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22"/>
      <c r="B871" s="7"/>
      <c r="C871" s="7"/>
      <c r="D871" s="7"/>
      <c r="E871" s="2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22"/>
      <c r="B872" s="7"/>
      <c r="C872" s="7"/>
      <c r="D872" s="7"/>
      <c r="E872" s="2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22"/>
      <c r="B873" s="7"/>
      <c r="C873" s="7"/>
      <c r="D873" s="7"/>
      <c r="E873" s="2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22"/>
      <c r="B874" s="7"/>
      <c r="C874" s="7"/>
      <c r="D874" s="7"/>
      <c r="E874" s="2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22"/>
      <c r="B875" s="7"/>
      <c r="C875" s="7"/>
      <c r="D875" s="7"/>
      <c r="E875" s="2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22"/>
      <c r="B876" s="7"/>
      <c r="C876" s="7"/>
      <c r="D876" s="7"/>
      <c r="E876" s="2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22"/>
      <c r="B877" s="7"/>
      <c r="C877" s="7"/>
      <c r="D877" s="7"/>
      <c r="E877" s="2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22"/>
      <c r="B878" s="7"/>
      <c r="C878" s="7"/>
      <c r="D878" s="7"/>
      <c r="E878" s="2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22"/>
      <c r="B879" s="7"/>
      <c r="C879" s="7"/>
      <c r="D879" s="7"/>
      <c r="E879" s="2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22"/>
      <c r="B880" s="7"/>
      <c r="C880" s="7"/>
      <c r="D880" s="7"/>
      <c r="E880" s="2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22"/>
      <c r="B881" s="7"/>
      <c r="C881" s="7"/>
      <c r="D881" s="7"/>
      <c r="E881" s="2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22"/>
      <c r="B882" s="7"/>
      <c r="C882" s="7"/>
      <c r="D882" s="7"/>
      <c r="E882" s="2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22"/>
      <c r="B883" s="7"/>
      <c r="C883" s="7"/>
      <c r="D883" s="7"/>
      <c r="E883" s="2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22"/>
      <c r="B884" s="7"/>
      <c r="C884" s="7"/>
      <c r="D884" s="7"/>
      <c r="E884" s="2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22"/>
      <c r="B885" s="7"/>
      <c r="C885" s="7"/>
      <c r="D885" s="7"/>
      <c r="E885" s="2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22"/>
      <c r="B886" s="7"/>
      <c r="C886" s="7"/>
      <c r="D886" s="7"/>
      <c r="E886" s="2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22"/>
      <c r="B887" s="7"/>
      <c r="C887" s="7"/>
      <c r="D887" s="7"/>
      <c r="E887" s="2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22"/>
      <c r="B888" s="7"/>
      <c r="C888" s="7"/>
      <c r="D888" s="7"/>
      <c r="E888" s="2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22"/>
      <c r="B889" s="7"/>
      <c r="C889" s="7"/>
      <c r="D889" s="7"/>
      <c r="E889" s="2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22"/>
      <c r="B890" s="7"/>
      <c r="C890" s="7"/>
      <c r="D890" s="7"/>
      <c r="E890" s="2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22"/>
      <c r="B891" s="7"/>
      <c r="C891" s="7"/>
      <c r="D891" s="7"/>
      <c r="E891" s="2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22"/>
      <c r="B892" s="7"/>
      <c r="C892" s="7"/>
      <c r="D892" s="7"/>
      <c r="E892" s="2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22"/>
      <c r="B893" s="7"/>
      <c r="C893" s="7"/>
      <c r="D893" s="7"/>
      <c r="E893" s="2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22"/>
      <c r="B894" s="7"/>
      <c r="C894" s="7"/>
      <c r="D894" s="7"/>
      <c r="E894" s="2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22"/>
      <c r="B895" s="7"/>
      <c r="C895" s="7"/>
      <c r="D895" s="7"/>
      <c r="E895" s="2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22"/>
      <c r="B896" s="7"/>
      <c r="C896" s="7"/>
      <c r="D896" s="7"/>
      <c r="E896" s="2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22"/>
      <c r="B897" s="7"/>
      <c r="C897" s="7"/>
      <c r="D897" s="7"/>
      <c r="E897" s="2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22"/>
      <c r="B898" s="7"/>
      <c r="C898" s="7"/>
      <c r="D898" s="7"/>
      <c r="E898" s="2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22"/>
      <c r="B899" s="7"/>
      <c r="C899" s="7"/>
      <c r="D899" s="7"/>
      <c r="E899" s="2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22"/>
      <c r="B900" s="7"/>
      <c r="C900" s="7"/>
      <c r="D900" s="7"/>
      <c r="E900" s="2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22"/>
      <c r="B901" s="7"/>
      <c r="C901" s="7"/>
      <c r="D901" s="7"/>
      <c r="E901" s="2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22"/>
      <c r="B902" s="7"/>
      <c r="C902" s="7"/>
      <c r="D902" s="7"/>
      <c r="E902" s="2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22"/>
      <c r="B903" s="7"/>
      <c r="C903" s="7"/>
      <c r="D903" s="7"/>
      <c r="E903" s="2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22"/>
      <c r="B904" s="7"/>
      <c r="C904" s="7"/>
      <c r="D904" s="7"/>
      <c r="E904" s="2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22"/>
      <c r="B905" s="7"/>
      <c r="C905" s="7"/>
      <c r="D905" s="7"/>
      <c r="E905" s="2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22"/>
      <c r="B906" s="7"/>
      <c r="C906" s="7"/>
      <c r="D906" s="7"/>
      <c r="E906" s="2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22"/>
      <c r="B907" s="7"/>
      <c r="C907" s="7"/>
      <c r="D907" s="7"/>
      <c r="E907" s="2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22"/>
      <c r="B908" s="7"/>
      <c r="C908" s="7"/>
      <c r="D908" s="7"/>
      <c r="E908" s="2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22"/>
      <c r="B909" s="7"/>
      <c r="C909" s="7"/>
      <c r="D909" s="7"/>
      <c r="E909" s="2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22"/>
      <c r="B910" s="7"/>
      <c r="C910" s="7"/>
      <c r="D910" s="7"/>
      <c r="E910" s="2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22"/>
      <c r="B911" s="7"/>
      <c r="C911" s="7"/>
      <c r="D911" s="7"/>
      <c r="E911" s="2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22"/>
      <c r="B912" s="7"/>
      <c r="C912" s="7"/>
      <c r="D912" s="7"/>
      <c r="E912" s="2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22"/>
      <c r="B913" s="7"/>
      <c r="C913" s="7"/>
      <c r="D913" s="7"/>
      <c r="E913" s="2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22"/>
      <c r="B914" s="7"/>
      <c r="C914" s="7"/>
      <c r="D914" s="7"/>
      <c r="E914" s="2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22"/>
      <c r="B915" s="7"/>
      <c r="C915" s="7"/>
      <c r="D915" s="7"/>
      <c r="E915" s="2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22"/>
      <c r="B916" s="7"/>
      <c r="C916" s="7"/>
      <c r="D916" s="7"/>
      <c r="E916" s="2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22"/>
      <c r="B917" s="7"/>
      <c r="C917" s="7"/>
      <c r="D917" s="7"/>
      <c r="E917" s="2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22"/>
      <c r="B918" s="7"/>
      <c r="C918" s="7"/>
      <c r="D918" s="7"/>
      <c r="E918" s="2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22"/>
      <c r="B919" s="7"/>
      <c r="C919" s="7"/>
      <c r="D919" s="7"/>
      <c r="E919" s="2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22"/>
      <c r="B920" s="7"/>
      <c r="C920" s="7"/>
      <c r="D920" s="7"/>
      <c r="E920" s="2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22"/>
      <c r="B921" s="7"/>
      <c r="C921" s="7"/>
      <c r="D921" s="7"/>
      <c r="E921" s="2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22"/>
      <c r="B922" s="7"/>
      <c r="C922" s="7"/>
      <c r="D922" s="7"/>
      <c r="E922" s="2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22"/>
      <c r="B923" s="7"/>
      <c r="C923" s="7"/>
      <c r="D923" s="7"/>
      <c r="E923" s="2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22"/>
      <c r="B924" s="7"/>
      <c r="C924" s="7"/>
      <c r="D924" s="7"/>
      <c r="E924" s="2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22"/>
      <c r="B925" s="7"/>
      <c r="C925" s="7"/>
      <c r="D925" s="7"/>
      <c r="E925" s="2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22"/>
      <c r="B926" s="7"/>
      <c r="C926" s="7"/>
      <c r="D926" s="7"/>
      <c r="E926" s="2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22"/>
      <c r="B927" s="7"/>
      <c r="C927" s="7"/>
      <c r="D927" s="7"/>
      <c r="E927" s="2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22"/>
      <c r="B928" s="7"/>
      <c r="C928" s="7"/>
      <c r="D928" s="7"/>
      <c r="E928" s="2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22"/>
      <c r="B929" s="7"/>
      <c r="C929" s="7"/>
      <c r="D929" s="7"/>
      <c r="E929" s="2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22"/>
      <c r="B930" s="7"/>
      <c r="C930" s="7"/>
      <c r="D930" s="7"/>
      <c r="E930" s="2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22"/>
      <c r="B931" s="7"/>
      <c r="C931" s="7"/>
      <c r="D931" s="7"/>
      <c r="E931" s="2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22"/>
      <c r="B932" s="7"/>
      <c r="C932" s="7"/>
      <c r="D932" s="7"/>
      <c r="E932" s="2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22"/>
      <c r="B933" s="7"/>
      <c r="C933" s="7"/>
      <c r="D933" s="7"/>
      <c r="E933" s="2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22"/>
      <c r="B934" s="7"/>
      <c r="C934" s="7"/>
      <c r="D934" s="7"/>
      <c r="E934" s="2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22"/>
      <c r="B935" s="7"/>
      <c r="C935" s="7"/>
      <c r="D935" s="7"/>
      <c r="E935" s="2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22"/>
      <c r="B936" s="7"/>
      <c r="C936" s="7"/>
      <c r="D936" s="7"/>
      <c r="E936" s="2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22"/>
      <c r="B937" s="7"/>
      <c r="C937" s="7"/>
      <c r="D937" s="7"/>
      <c r="E937" s="2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22"/>
      <c r="B938" s="7"/>
      <c r="C938" s="7"/>
      <c r="D938" s="7"/>
      <c r="E938" s="2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22"/>
      <c r="B939" s="7"/>
      <c r="C939" s="7"/>
      <c r="D939" s="7"/>
      <c r="E939" s="2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22"/>
      <c r="B940" s="7"/>
      <c r="C940" s="7"/>
      <c r="D940" s="7"/>
      <c r="E940" s="2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22"/>
      <c r="B941" s="7"/>
      <c r="C941" s="7"/>
      <c r="D941" s="7"/>
      <c r="E941" s="2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22"/>
      <c r="B942" s="7"/>
      <c r="C942" s="7"/>
      <c r="D942" s="7"/>
      <c r="E942" s="2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22"/>
      <c r="B943" s="7"/>
      <c r="C943" s="7"/>
      <c r="D943" s="7"/>
      <c r="E943" s="2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22"/>
      <c r="B944" s="7"/>
      <c r="C944" s="7"/>
      <c r="D944" s="7"/>
      <c r="E944" s="2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22"/>
      <c r="B945" s="7"/>
      <c r="C945" s="7"/>
      <c r="D945" s="7"/>
      <c r="E945" s="2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22"/>
      <c r="B946" s="7"/>
      <c r="C946" s="7"/>
      <c r="D946" s="7"/>
      <c r="E946" s="2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22"/>
      <c r="B947" s="7"/>
      <c r="C947" s="7"/>
      <c r="D947" s="7"/>
      <c r="E947" s="2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22"/>
      <c r="B948" s="7"/>
      <c r="C948" s="7"/>
      <c r="D948" s="7"/>
      <c r="E948" s="2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22"/>
      <c r="B949" s="7"/>
      <c r="C949" s="7"/>
      <c r="D949" s="7"/>
      <c r="E949" s="2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22"/>
      <c r="B950" s="7"/>
      <c r="C950" s="7"/>
      <c r="D950" s="7"/>
      <c r="E950" s="2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22"/>
      <c r="B951" s="7"/>
      <c r="C951" s="7"/>
      <c r="D951" s="7"/>
      <c r="E951" s="2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22"/>
      <c r="B952" s="7"/>
      <c r="C952" s="7"/>
      <c r="D952" s="7"/>
      <c r="E952" s="2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22"/>
      <c r="B953" s="7"/>
      <c r="C953" s="7"/>
      <c r="D953" s="7"/>
      <c r="E953" s="2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22"/>
      <c r="B954" s="7"/>
      <c r="C954" s="7"/>
      <c r="D954" s="7"/>
      <c r="E954" s="2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22"/>
      <c r="B955" s="7"/>
      <c r="C955" s="7"/>
      <c r="D955" s="7"/>
      <c r="E955" s="2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22"/>
      <c r="B956" s="7"/>
      <c r="C956" s="7"/>
      <c r="D956" s="7"/>
      <c r="E956" s="2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22"/>
      <c r="B957" s="7"/>
      <c r="C957" s="7"/>
      <c r="D957" s="7"/>
      <c r="E957" s="2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22"/>
      <c r="B958" s="7"/>
      <c r="C958" s="7"/>
      <c r="D958" s="7"/>
      <c r="E958" s="2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22"/>
      <c r="B959" s="7"/>
      <c r="C959" s="7"/>
      <c r="D959" s="7"/>
      <c r="E959" s="2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22"/>
      <c r="B960" s="7"/>
      <c r="C960" s="7"/>
      <c r="D960" s="7"/>
      <c r="E960" s="2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22"/>
      <c r="B961" s="7"/>
      <c r="C961" s="7"/>
      <c r="D961" s="7"/>
      <c r="E961" s="2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22"/>
      <c r="B962" s="7"/>
      <c r="C962" s="7"/>
      <c r="D962" s="7"/>
      <c r="E962" s="2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22"/>
      <c r="B963" s="7"/>
      <c r="C963" s="7"/>
      <c r="D963" s="7"/>
      <c r="E963" s="2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22"/>
      <c r="B964" s="7"/>
      <c r="C964" s="7"/>
      <c r="D964" s="7"/>
      <c r="E964" s="2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22"/>
      <c r="B965" s="7"/>
      <c r="C965" s="7"/>
      <c r="D965" s="7"/>
      <c r="E965" s="2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22"/>
      <c r="B966" s="7"/>
      <c r="C966" s="7"/>
      <c r="D966" s="7"/>
      <c r="E966" s="2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22"/>
      <c r="B967" s="7"/>
      <c r="C967" s="7"/>
      <c r="D967" s="7"/>
      <c r="E967" s="2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22"/>
      <c r="B968" s="7"/>
      <c r="C968" s="7"/>
      <c r="D968" s="7"/>
      <c r="E968" s="2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22"/>
      <c r="B969" s="7"/>
      <c r="C969" s="7"/>
      <c r="D969" s="7"/>
      <c r="E969" s="2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22"/>
      <c r="B970" s="7"/>
      <c r="C970" s="7"/>
      <c r="D970" s="7"/>
      <c r="E970" s="2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22"/>
      <c r="B971" s="7"/>
      <c r="C971" s="7"/>
      <c r="D971" s="7"/>
      <c r="E971" s="2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22"/>
      <c r="B972" s="7"/>
      <c r="C972" s="7"/>
      <c r="D972" s="7"/>
      <c r="E972" s="2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22"/>
      <c r="B973" s="7"/>
      <c r="C973" s="7"/>
      <c r="D973" s="7"/>
      <c r="E973" s="2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22"/>
      <c r="B974" s="7"/>
      <c r="C974" s="7"/>
      <c r="D974" s="7"/>
      <c r="E974" s="2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22"/>
      <c r="B975" s="7"/>
      <c r="C975" s="7"/>
      <c r="D975" s="7"/>
      <c r="E975" s="2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22"/>
      <c r="B976" s="7"/>
      <c r="C976" s="7"/>
      <c r="D976" s="7"/>
      <c r="E976" s="2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">
      <c r="A977" s="22"/>
      <c r="B977" s="7"/>
      <c r="C977" s="7"/>
      <c r="D977" s="7"/>
      <c r="E977" s="2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">
      <c r="A978" s="22"/>
      <c r="B978" s="7"/>
      <c r="C978" s="7"/>
      <c r="D978" s="7"/>
      <c r="E978" s="2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">
      <c r="A979" s="22"/>
      <c r="B979" s="7"/>
      <c r="C979" s="7"/>
      <c r="D979" s="7"/>
      <c r="E979" s="2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">
      <c r="A980" s="22"/>
      <c r="B980" s="7"/>
      <c r="C980" s="7"/>
      <c r="D980" s="7"/>
      <c r="E980" s="2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">
      <c r="A981" s="22"/>
      <c r="B981" s="7"/>
      <c r="C981" s="7"/>
      <c r="D981" s="7"/>
      <c r="E981" s="2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">
      <c r="A982" s="22"/>
      <c r="B982" s="7"/>
      <c r="C982" s="7"/>
      <c r="D982" s="7"/>
      <c r="E982" s="2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">
      <c r="A983" s="22"/>
      <c r="B983" s="7"/>
      <c r="C983" s="7"/>
      <c r="D983" s="7"/>
      <c r="E983" s="2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">
      <c r="A984" s="22"/>
      <c r="B984" s="7"/>
      <c r="C984" s="7"/>
      <c r="D984" s="7"/>
      <c r="E984" s="2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">
      <c r="A985" s="22"/>
      <c r="B985" s="7"/>
      <c r="C985" s="7"/>
      <c r="D985" s="7"/>
      <c r="E985" s="2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">
      <c r="A986" s="22"/>
      <c r="B986" s="7"/>
      <c r="C986" s="7"/>
      <c r="D986" s="7"/>
      <c r="E986" s="2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">
      <c r="A987" s="22"/>
      <c r="B987" s="7"/>
      <c r="C987" s="7"/>
      <c r="D987" s="7"/>
      <c r="E987" s="2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">
      <c r="A988" s="22"/>
      <c r="B988" s="7"/>
      <c r="C988" s="7"/>
      <c r="D988" s="7"/>
      <c r="E988" s="2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">
      <c r="A989" s="22"/>
      <c r="B989" s="7"/>
      <c r="C989" s="7"/>
      <c r="D989" s="7"/>
      <c r="E989" s="2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">
      <c r="A990" s="22"/>
      <c r="B990" s="7"/>
      <c r="C990" s="7"/>
      <c r="D990" s="7"/>
      <c r="E990" s="2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">
      <c r="A991" s="22"/>
      <c r="B991" s="7"/>
      <c r="C991" s="7"/>
      <c r="D991" s="7"/>
      <c r="E991" s="2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">
      <c r="A992" s="22"/>
      <c r="B992" s="7"/>
      <c r="C992" s="7"/>
      <c r="D992" s="7"/>
      <c r="E992" s="2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">
      <c r="A993" s="22"/>
      <c r="B993" s="7"/>
      <c r="C993" s="7"/>
      <c r="D993" s="7"/>
      <c r="E993" s="2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">
      <c r="A994" s="22"/>
      <c r="B994" s="7"/>
      <c r="C994" s="7"/>
      <c r="D994" s="7"/>
      <c r="E994" s="2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">
      <c r="A995" s="22"/>
      <c r="B995" s="7"/>
      <c r="C995" s="7"/>
      <c r="D995" s="7"/>
      <c r="E995" s="2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">
      <c r="A996" s="22"/>
      <c r="B996" s="7"/>
      <c r="C996" s="7"/>
      <c r="D996" s="7"/>
      <c r="E996" s="2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">
      <c r="A997" s="22"/>
      <c r="B997" s="7"/>
      <c r="C997" s="7"/>
      <c r="D997" s="7"/>
      <c r="E997" s="2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">
      <c r="A998" s="22"/>
      <c r="B998" s="7"/>
      <c r="C998" s="7"/>
      <c r="D998" s="7"/>
      <c r="E998" s="28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">
      <c r="A999" s="22"/>
      <c r="B999" s="7"/>
      <c r="C999" s="7"/>
      <c r="D999" s="7"/>
      <c r="E999" s="28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">
      <c r="A1000" s="22"/>
      <c r="B1000" s="7"/>
      <c r="C1000" s="7"/>
      <c r="D1000" s="7"/>
      <c r="E1000" s="28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A1:E209" xr:uid="{00000000-0009-0000-0000-000003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5" defaultRowHeight="15" customHeight="1" x14ac:dyDescent="0.2"/>
  <cols>
    <col min="1" max="3" width="10.83203125" customWidth="1"/>
    <col min="4" max="4" width="31" customWidth="1"/>
    <col min="5" max="5" width="29.33203125" customWidth="1"/>
    <col min="6" max="6" width="30" customWidth="1"/>
    <col min="7" max="7" width="27.83203125" customWidth="1"/>
    <col min="8" max="26" width="10.6640625" customWidth="1"/>
  </cols>
  <sheetData>
    <row r="1" spans="1:26" x14ac:dyDescent="0.2">
      <c r="A1" s="29" t="s">
        <v>19</v>
      </c>
      <c r="B1" s="30" t="s">
        <v>12</v>
      </c>
      <c r="C1" s="30" t="s">
        <v>11</v>
      </c>
      <c r="D1" s="31" t="s">
        <v>26</v>
      </c>
      <c r="E1" s="31" t="s">
        <v>27</v>
      </c>
      <c r="F1" s="31" t="s">
        <v>28</v>
      </c>
      <c r="G1" s="31" t="s">
        <v>29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6" x14ac:dyDescent="0.2">
      <c r="A2" s="32">
        <v>41855</v>
      </c>
      <c r="B2" s="4">
        <v>1</v>
      </c>
      <c r="C2" s="4" t="s">
        <v>16</v>
      </c>
      <c r="D2" s="33">
        <v>4338</v>
      </c>
      <c r="E2" s="12">
        <f t="shared" ref="E2:E105" si="0">D2*1.1</f>
        <v>4771.8</v>
      </c>
      <c r="F2" s="10">
        <f t="shared" ref="F2:F105" si="1">2</f>
        <v>2</v>
      </c>
      <c r="G2" s="12">
        <f t="shared" ref="G2:G105" si="2">E2*F2</f>
        <v>9543.6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6" x14ac:dyDescent="0.2">
      <c r="A3" s="32">
        <v>41855</v>
      </c>
      <c r="B3" s="4">
        <v>2</v>
      </c>
      <c r="C3" s="4" t="s">
        <v>16</v>
      </c>
      <c r="D3" s="33">
        <v>3600</v>
      </c>
      <c r="E3" s="12">
        <f t="shared" si="0"/>
        <v>3960.0000000000005</v>
      </c>
      <c r="F3" s="10">
        <f t="shared" si="1"/>
        <v>2</v>
      </c>
      <c r="G3" s="12">
        <f t="shared" si="2"/>
        <v>7920.0000000000009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" x14ac:dyDescent="0.2">
      <c r="A4" s="32">
        <v>41862</v>
      </c>
      <c r="B4" s="4">
        <v>1</v>
      </c>
      <c r="C4" s="4" t="s">
        <v>16</v>
      </c>
      <c r="D4" s="33">
        <v>4598</v>
      </c>
      <c r="E4" s="12">
        <f t="shared" si="0"/>
        <v>5057.8</v>
      </c>
      <c r="F4" s="10">
        <f t="shared" si="1"/>
        <v>2</v>
      </c>
      <c r="G4" s="12">
        <f t="shared" si="2"/>
        <v>10115.6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6" x14ac:dyDescent="0.2">
      <c r="A5" s="32">
        <v>41862</v>
      </c>
      <c r="B5" s="4">
        <v>2</v>
      </c>
      <c r="C5" s="4" t="s">
        <v>16</v>
      </c>
      <c r="D5" s="33">
        <v>3234</v>
      </c>
      <c r="E5" s="12">
        <f t="shared" si="0"/>
        <v>3557.4</v>
      </c>
      <c r="F5" s="10">
        <f t="shared" si="1"/>
        <v>2</v>
      </c>
      <c r="G5" s="12">
        <f t="shared" si="2"/>
        <v>7114.8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6" x14ac:dyDescent="0.2">
      <c r="A6" s="32">
        <v>41869</v>
      </c>
      <c r="B6" s="4">
        <v>1</v>
      </c>
      <c r="C6" s="4" t="s">
        <v>16</v>
      </c>
      <c r="D6" s="33">
        <v>4268</v>
      </c>
      <c r="E6" s="12">
        <f t="shared" si="0"/>
        <v>4694.8</v>
      </c>
      <c r="F6" s="10">
        <f t="shared" si="1"/>
        <v>2</v>
      </c>
      <c r="G6" s="12">
        <f t="shared" si="2"/>
        <v>9389.6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6" x14ac:dyDescent="0.2">
      <c r="A7" s="32">
        <v>41869</v>
      </c>
      <c r="B7" s="4">
        <v>2</v>
      </c>
      <c r="C7" s="4" t="s">
        <v>16</v>
      </c>
      <c r="D7" s="33">
        <v>2623</v>
      </c>
      <c r="E7" s="12">
        <f t="shared" si="0"/>
        <v>2885.3</v>
      </c>
      <c r="F7" s="10">
        <f t="shared" si="1"/>
        <v>2</v>
      </c>
      <c r="G7" s="12">
        <f t="shared" si="2"/>
        <v>5770.6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" x14ac:dyDescent="0.2">
      <c r="A8" s="32">
        <v>41876</v>
      </c>
      <c r="B8" s="4">
        <v>1</v>
      </c>
      <c r="C8" s="4" t="s">
        <v>16</v>
      </c>
      <c r="D8" s="33">
        <v>3453</v>
      </c>
      <c r="E8" s="12">
        <f t="shared" si="0"/>
        <v>3798.3</v>
      </c>
      <c r="F8" s="10">
        <f t="shared" si="1"/>
        <v>2</v>
      </c>
      <c r="G8" s="12">
        <f t="shared" si="2"/>
        <v>7596.6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6" x14ac:dyDescent="0.2">
      <c r="A9" s="32">
        <v>41876</v>
      </c>
      <c r="B9" s="4">
        <v>2</v>
      </c>
      <c r="C9" s="4" t="s">
        <v>16</v>
      </c>
      <c r="D9" s="33">
        <v>1902</v>
      </c>
      <c r="E9" s="12">
        <f t="shared" si="0"/>
        <v>2092.2000000000003</v>
      </c>
      <c r="F9" s="10">
        <f t="shared" si="1"/>
        <v>2</v>
      </c>
      <c r="G9" s="12">
        <f t="shared" si="2"/>
        <v>4184.4000000000005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6" x14ac:dyDescent="0.2">
      <c r="A10" s="32">
        <v>41883</v>
      </c>
      <c r="B10" s="4">
        <v>1</v>
      </c>
      <c r="C10" s="4" t="s">
        <v>16</v>
      </c>
      <c r="D10" s="33">
        <v>3530</v>
      </c>
      <c r="E10" s="12">
        <f t="shared" si="0"/>
        <v>3883.0000000000005</v>
      </c>
      <c r="F10" s="10">
        <f t="shared" si="1"/>
        <v>2</v>
      </c>
      <c r="G10" s="12">
        <f t="shared" si="2"/>
        <v>7766.0000000000009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6" x14ac:dyDescent="0.2">
      <c r="A11" s="32">
        <v>41883</v>
      </c>
      <c r="B11" s="4">
        <v>2</v>
      </c>
      <c r="C11" s="4" t="s">
        <v>16</v>
      </c>
      <c r="D11" s="33">
        <v>2567</v>
      </c>
      <c r="E11" s="12">
        <f t="shared" si="0"/>
        <v>2823.7000000000003</v>
      </c>
      <c r="F11" s="10">
        <f t="shared" si="1"/>
        <v>2</v>
      </c>
      <c r="G11" s="12">
        <f t="shared" si="2"/>
        <v>5647.4000000000005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6" x14ac:dyDescent="0.2">
      <c r="A12" s="32">
        <v>41890</v>
      </c>
      <c r="B12" s="4">
        <v>1</v>
      </c>
      <c r="C12" s="4" t="s">
        <v>16</v>
      </c>
      <c r="D12" s="33">
        <v>3288</v>
      </c>
      <c r="E12" s="12">
        <f t="shared" si="0"/>
        <v>3616.8</v>
      </c>
      <c r="F12" s="10">
        <f t="shared" si="1"/>
        <v>2</v>
      </c>
      <c r="G12" s="12">
        <f t="shared" si="2"/>
        <v>7233.6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6" x14ac:dyDescent="0.2">
      <c r="A13" s="32">
        <v>41890</v>
      </c>
      <c r="B13" s="4">
        <v>2</v>
      </c>
      <c r="C13" s="4" t="s">
        <v>16</v>
      </c>
      <c r="D13" s="33">
        <v>2056</v>
      </c>
      <c r="E13" s="12">
        <f t="shared" si="0"/>
        <v>2261.6000000000004</v>
      </c>
      <c r="F13" s="10">
        <f t="shared" si="1"/>
        <v>2</v>
      </c>
      <c r="G13" s="12">
        <f t="shared" si="2"/>
        <v>4523.2000000000007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6" x14ac:dyDescent="0.2">
      <c r="A14" s="32">
        <v>41897</v>
      </c>
      <c r="B14" s="4">
        <v>1</v>
      </c>
      <c r="C14" s="4" t="s">
        <v>16</v>
      </c>
      <c r="D14" s="33">
        <v>3999</v>
      </c>
      <c r="E14" s="12">
        <f t="shared" si="0"/>
        <v>4398.9000000000005</v>
      </c>
      <c r="F14" s="10">
        <f t="shared" si="1"/>
        <v>2</v>
      </c>
      <c r="G14" s="12">
        <f t="shared" si="2"/>
        <v>8797.8000000000011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" x14ac:dyDescent="0.2">
      <c r="A15" s="32">
        <v>41897</v>
      </c>
      <c r="B15" s="4">
        <v>2</v>
      </c>
      <c r="C15" s="4" t="s">
        <v>16</v>
      </c>
      <c r="D15" s="33">
        <v>3295</v>
      </c>
      <c r="E15" s="12">
        <f t="shared" si="0"/>
        <v>3624.5000000000005</v>
      </c>
      <c r="F15" s="10">
        <f t="shared" si="1"/>
        <v>2</v>
      </c>
      <c r="G15" s="12">
        <f t="shared" si="2"/>
        <v>7249.0000000000009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" x14ac:dyDescent="0.2">
      <c r="A16" s="32">
        <v>41904</v>
      </c>
      <c r="B16" s="4">
        <v>1</v>
      </c>
      <c r="C16" s="4" t="s">
        <v>16</v>
      </c>
      <c r="D16" s="33">
        <v>3862</v>
      </c>
      <c r="E16" s="12">
        <f t="shared" si="0"/>
        <v>4248.2000000000007</v>
      </c>
      <c r="F16" s="10">
        <f t="shared" si="1"/>
        <v>2</v>
      </c>
      <c r="G16" s="12">
        <f t="shared" si="2"/>
        <v>8496.4000000000015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" x14ac:dyDescent="0.2">
      <c r="A17" s="32">
        <v>41904</v>
      </c>
      <c r="B17" s="4">
        <v>2</v>
      </c>
      <c r="C17" s="4" t="s">
        <v>16</v>
      </c>
      <c r="D17" s="33">
        <v>2569</v>
      </c>
      <c r="E17" s="12">
        <f t="shared" si="0"/>
        <v>2825.9</v>
      </c>
      <c r="F17" s="10">
        <f t="shared" si="1"/>
        <v>2</v>
      </c>
      <c r="G17" s="12">
        <f t="shared" si="2"/>
        <v>5651.8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" x14ac:dyDescent="0.2">
      <c r="A18" s="32">
        <v>41911</v>
      </c>
      <c r="B18" s="4">
        <v>1</v>
      </c>
      <c r="C18" s="4" t="s">
        <v>16</v>
      </c>
      <c r="D18" s="33">
        <v>3258</v>
      </c>
      <c r="E18" s="12">
        <f t="shared" si="0"/>
        <v>3583.8</v>
      </c>
      <c r="F18" s="10">
        <f t="shared" si="1"/>
        <v>2</v>
      </c>
      <c r="G18" s="12">
        <f t="shared" si="2"/>
        <v>7167.6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6" x14ac:dyDescent="0.2">
      <c r="A19" s="32">
        <v>41911</v>
      </c>
      <c r="B19" s="4">
        <v>2</v>
      </c>
      <c r="C19" s="4" t="s">
        <v>16</v>
      </c>
      <c r="D19" s="33">
        <v>2623</v>
      </c>
      <c r="E19" s="12">
        <f t="shared" si="0"/>
        <v>2885.3</v>
      </c>
      <c r="F19" s="10">
        <f t="shared" si="1"/>
        <v>2</v>
      </c>
      <c r="G19" s="12">
        <f t="shared" si="2"/>
        <v>5770.6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6" x14ac:dyDescent="0.2">
      <c r="A20" s="32">
        <v>41918</v>
      </c>
      <c r="B20" s="4">
        <v>1</v>
      </c>
      <c r="C20" s="4" t="s">
        <v>16</v>
      </c>
      <c r="D20" s="33">
        <v>4228</v>
      </c>
      <c r="E20" s="12">
        <f t="shared" si="0"/>
        <v>4650.8</v>
      </c>
      <c r="F20" s="10">
        <f t="shared" si="1"/>
        <v>2</v>
      </c>
      <c r="G20" s="12">
        <f t="shared" si="2"/>
        <v>9301.6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">
      <c r="A21" s="32">
        <v>41918</v>
      </c>
      <c r="B21" s="4">
        <v>2</v>
      </c>
      <c r="C21" s="4" t="s">
        <v>16</v>
      </c>
      <c r="D21" s="33">
        <v>2897</v>
      </c>
      <c r="E21" s="12">
        <f t="shared" si="0"/>
        <v>3186.7000000000003</v>
      </c>
      <c r="F21" s="10">
        <f t="shared" si="1"/>
        <v>2</v>
      </c>
      <c r="G21" s="12">
        <f t="shared" si="2"/>
        <v>6373.4000000000005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">
      <c r="A22" s="32">
        <v>41925</v>
      </c>
      <c r="B22" s="4">
        <v>1</v>
      </c>
      <c r="C22" s="4" t="s">
        <v>16</v>
      </c>
      <c r="D22" s="33">
        <v>3530</v>
      </c>
      <c r="E22" s="12">
        <f t="shared" si="0"/>
        <v>3883.0000000000005</v>
      </c>
      <c r="F22" s="10">
        <f t="shared" si="1"/>
        <v>2</v>
      </c>
      <c r="G22" s="12">
        <f t="shared" si="2"/>
        <v>7766.0000000000009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">
      <c r="A23" s="32">
        <v>41925</v>
      </c>
      <c r="B23" s="4">
        <v>2</v>
      </c>
      <c r="C23" s="4" t="s">
        <v>16</v>
      </c>
      <c r="D23" s="33">
        <v>2868</v>
      </c>
      <c r="E23" s="12">
        <f t="shared" si="0"/>
        <v>3154.8</v>
      </c>
      <c r="F23" s="10">
        <f t="shared" si="1"/>
        <v>2</v>
      </c>
      <c r="G23" s="12">
        <f t="shared" si="2"/>
        <v>6309.6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">
      <c r="A24" s="32">
        <v>41932</v>
      </c>
      <c r="B24" s="4">
        <v>1</v>
      </c>
      <c r="C24" s="4" t="s">
        <v>16</v>
      </c>
      <c r="D24" s="33">
        <v>4227</v>
      </c>
      <c r="E24" s="12">
        <f t="shared" si="0"/>
        <v>4649.7000000000007</v>
      </c>
      <c r="F24" s="10">
        <f t="shared" si="1"/>
        <v>2</v>
      </c>
      <c r="G24" s="12">
        <f t="shared" si="2"/>
        <v>9299.4000000000015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32">
        <v>41932</v>
      </c>
      <c r="B25" s="4">
        <v>2</v>
      </c>
      <c r="C25" s="4" t="s">
        <v>16</v>
      </c>
      <c r="D25" s="33">
        <v>3205</v>
      </c>
      <c r="E25" s="12">
        <f t="shared" si="0"/>
        <v>3525.5000000000005</v>
      </c>
      <c r="F25" s="10">
        <f t="shared" si="1"/>
        <v>2</v>
      </c>
      <c r="G25" s="12">
        <f t="shared" si="2"/>
        <v>7051.0000000000009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32">
        <v>41939</v>
      </c>
      <c r="B26" s="4">
        <v>1</v>
      </c>
      <c r="C26" s="4" t="s">
        <v>16</v>
      </c>
      <c r="D26" s="33">
        <v>2990</v>
      </c>
      <c r="E26" s="12">
        <f t="shared" si="0"/>
        <v>3289.0000000000005</v>
      </c>
      <c r="F26" s="10">
        <f t="shared" si="1"/>
        <v>2</v>
      </c>
      <c r="G26" s="12">
        <f t="shared" si="2"/>
        <v>6578.0000000000009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32">
        <v>41939</v>
      </c>
      <c r="B27" s="4">
        <v>2</v>
      </c>
      <c r="C27" s="4" t="s">
        <v>16</v>
      </c>
      <c r="D27" s="33">
        <v>1470</v>
      </c>
      <c r="E27" s="12">
        <f t="shared" si="0"/>
        <v>1617.0000000000002</v>
      </c>
      <c r="F27" s="10">
        <f t="shared" si="1"/>
        <v>2</v>
      </c>
      <c r="G27" s="12">
        <f t="shared" si="2"/>
        <v>3234.0000000000005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32">
        <v>41946</v>
      </c>
      <c r="B28" s="4">
        <v>1</v>
      </c>
      <c r="C28" s="4" t="s">
        <v>16</v>
      </c>
      <c r="D28" s="33">
        <v>3493</v>
      </c>
      <c r="E28" s="12">
        <f t="shared" si="0"/>
        <v>3842.3</v>
      </c>
      <c r="F28" s="10">
        <f t="shared" si="1"/>
        <v>2</v>
      </c>
      <c r="G28" s="12">
        <f t="shared" si="2"/>
        <v>7684.6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32">
        <v>41946</v>
      </c>
      <c r="B29" s="4">
        <v>2</v>
      </c>
      <c r="C29" s="4" t="s">
        <v>16</v>
      </c>
      <c r="D29" s="33">
        <v>2842</v>
      </c>
      <c r="E29" s="12">
        <f t="shared" si="0"/>
        <v>3126.2000000000003</v>
      </c>
      <c r="F29" s="10">
        <f t="shared" si="1"/>
        <v>2</v>
      </c>
      <c r="G29" s="12">
        <f t="shared" si="2"/>
        <v>6252.4000000000005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32">
        <v>41953</v>
      </c>
      <c r="B30" s="4">
        <v>1</v>
      </c>
      <c r="C30" s="4" t="s">
        <v>16</v>
      </c>
      <c r="D30" s="33">
        <v>4838</v>
      </c>
      <c r="E30" s="12">
        <f t="shared" si="0"/>
        <v>5321.8</v>
      </c>
      <c r="F30" s="10">
        <f t="shared" si="1"/>
        <v>2</v>
      </c>
      <c r="G30" s="12">
        <f t="shared" si="2"/>
        <v>10643.6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32">
        <v>41953</v>
      </c>
      <c r="B31" s="4">
        <v>2</v>
      </c>
      <c r="C31" s="4" t="s">
        <v>16</v>
      </c>
      <c r="D31" s="33">
        <v>3750</v>
      </c>
      <c r="E31" s="12">
        <f t="shared" si="0"/>
        <v>4125</v>
      </c>
      <c r="F31" s="10">
        <f t="shared" si="1"/>
        <v>2</v>
      </c>
      <c r="G31" s="12">
        <f t="shared" si="2"/>
        <v>8250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32">
        <v>41960</v>
      </c>
      <c r="B32" s="4">
        <v>1</v>
      </c>
      <c r="C32" s="4" t="s">
        <v>16</v>
      </c>
      <c r="D32" s="33">
        <v>3560</v>
      </c>
      <c r="E32" s="12">
        <f t="shared" si="0"/>
        <v>3916.0000000000005</v>
      </c>
      <c r="F32" s="10">
        <f t="shared" si="1"/>
        <v>2</v>
      </c>
      <c r="G32" s="12">
        <f t="shared" si="2"/>
        <v>7832.0000000000009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32">
        <v>41960</v>
      </c>
      <c r="B33" s="4">
        <v>2</v>
      </c>
      <c r="C33" s="4" t="s">
        <v>16</v>
      </c>
      <c r="D33" s="33">
        <v>2293</v>
      </c>
      <c r="E33" s="12">
        <f t="shared" si="0"/>
        <v>2522.3000000000002</v>
      </c>
      <c r="F33" s="10">
        <f t="shared" si="1"/>
        <v>2</v>
      </c>
      <c r="G33" s="12">
        <f t="shared" si="2"/>
        <v>5044.6000000000004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32">
        <v>41967</v>
      </c>
      <c r="B34" s="4">
        <v>1</v>
      </c>
      <c r="C34" s="4" t="s">
        <v>16</v>
      </c>
      <c r="D34" s="33">
        <v>4329</v>
      </c>
      <c r="E34" s="12">
        <f t="shared" si="0"/>
        <v>4761.9000000000005</v>
      </c>
      <c r="F34" s="10">
        <f t="shared" si="1"/>
        <v>2</v>
      </c>
      <c r="G34" s="12">
        <f t="shared" si="2"/>
        <v>9523.8000000000011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32">
        <v>41967</v>
      </c>
      <c r="B35" s="4">
        <v>2</v>
      </c>
      <c r="C35" s="4" t="s">
        <v>16</v>
      </c>
      <c r="D35" s="33">
        <v>3295</v>
      </c>
      <c r="E35" s="12">
        <f t="shared" si="0"/>
        <v>3624.5000000000005</v>
      </c>
      <c r="F35" s="10">
        <f t="shared" si="1"/>
        <v>2</v>
      </c>
      <c r="G35" s="12">
        <f t="shared" si="2"/>
        <v>7249.0000000000009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32">
        <v>41974</v>
      </c>
      <c r="B36" s="4">
        <v>1</v>
      </c>
      <c r="C36" s="4" t="s">
        <v>16</v>
      </c>
      <c r="D36" s="33">
        <v>4937</v>
      </c>
      <c r="E36" s="12">
        <f t="shared" si="0"/>
        <v>5430.7000000000007</v>
      </c>
      <c r="F36" s="10">
        <f t="shared" si="1"/>
        <v>2</v>
      </c>
      <c r="G36" s="12">
        <f t="shared" si="2"/>
        <v>10861.400000000001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32">
        <v>41974</v>
      </c>
      <c r="B37" s="4">
        <v>2</v>
      </c>
      <c r="C37" s="4" t="s">
        <v>16</v>
      </c>
      <c r="D37" s="33">
        <v>4132</v>
      </c>
      <c r="E37" s="12">
        <f t="shared" si="0"/>
        <v>4545.2000000000007</v>
      </c>
      <c r="F37" s="10">
        <f t="shared" si="1"/>
        <v>2</v>
      </c>
      <c r="G37" s="12">
        <f t="shared" si="2"/>
        <v>9090.4000000000015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32">
        <v>41981</v>
      </c>
      <c r="B38" s="4">
        <v>1</v>
      </c>
      <c r="C38" s="4" t="s">
        <v>16</v>
      </c>
      <c r="D38" s="33">
        <v>4361</v>
      </c>
      <c r="E38" s="12">
        <f t="shared" si="0"/>
        <v>4797.1000000000004</v>
      </c>
      <c r="F38" s="10">
        <f t="shared" si="1"/>
        <v>2</v>
      </c>
      <c r="G38" s="12">
        <f t="shared" si="2"/>
        <v>9594.2000000000007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32">
        <v>41981</v>
      </c>
      <c r="B39" s="4">
        <v>2</v>
      </c>
      <c r="C39" s="4" t="s">
        <v>16</v>
      </c>
      <c r="D39" s="33">
        <v>3325</v>
      </c>
      <c r="E39" s="12">
        <f t="shared" si="0"/>
        <v>3657.5000000000005</v>
      </c>
      <c r="F39" s="10">
        <f t="shared" si="1"/>
        <v>2</v>
      </c>
      <c r="G39" s="12">
        <f t="shared" si="2"/>
        <v>7315.0000000000009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32">
        <v>41988</v>
      </c>
      <c r="B40" s="4">
        <v>1</v>
      </c>
      <c r="C40" s="4" t="s">
        <v>16</v>
      </c>
      <c r="D40" s="33">
        <v>4569</v>
      </c>
      <c r="E40" s="12">
        <f t="shared" si="0"/>
        <v>5025.9000000000005</v>
      </c>
      <c r="F40" s="10">
        <f t="shared" si="1"/>
        <v>2</v>
      </c>
      <c r="G40" s="12">
        <f t="shared" si="2"/>
        <v>10051.800000000001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32">
        <v>41988</v>
      </c>
      <c r="B41" s="4">
        <v>2</v>
      </c>
      <c r="C41" s="4" t="s">
        <v>16</v>
      </c>
      <c r="D41" s="33">
        <v>3508</v>
      </c>
      <c r="E41" s="12">
        <f t="shared" si="0"/>
        <v>3858.8</v>
      </c>
      <c r="F41" s="10">
        <f t="shared" si="1"/>
        <v>2</v>
      </c>
      <c r="G41" s="12">
        <f t="shared" si="2"/>
        <v>7717.6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32">
        <v>41995</v>
      </c>
      <c r="B42" s="4">
        <v>1</v>
      </c>
      <c r="C42" s="4" t="s">
        <v>16</v>
      </c>
      <c r="D42" s="33">
        <v>4301</v>
      </c>
      <c r="E42" s="12">
        <f t="shared" si="0"/>
        <v>4731.1000000000004</v>
      </c>
      <c r="F42" s="10">
        <f t="shared" si="1"/>
        <v>2</v>
      </c>
      <c r="G42" s="12">
        <f t="shared" si="2"/>
        <v>9462.2000000000007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32">
        <v>41995</v>
      </c>
      <c r="B43" s="4">
        <v>2</v>
      </c>
      <c r="C43" s="4" t="s">
        <v>16</v>
      </c>
      <c r="D43" s="33">
        <v>3558</v>
      </c>
      <c r="E43" s="12">
        <f t="shared" si="0"/>
        <v>3913.8</v>
      </c>
      <c r="F43" s="10">
        <f t="shared" si="1"/>
        <v>2</v>
      </c>
      <c r="G43" s="12">
        <f t="shared" si="2"/>
        <v>7827.6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32">
        <v>42002</v>
      </c>
      <c r="B44" s="4">
        <v>1</v>
      </c>
      <c r="C44" s="4" t="s">
        <v>16</v>
      </c>
      <c r="D44" s="33">
        <v>5106</v>
      </c>
      <c r="E44" s="12">
        <f t="shared" si="0"/>
        <v>5616.6</v>
      </c>
      <c r="F44" s="10">
        <f t="shared" si="1"/>
        <v>2</v>
      </c>
      <c r="G44" s="12">
        <f t="shared" si="2"/>
        <v>11233.2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32">
        <v>42002</v>
      </c>
      <c r="B45" s="4">
        <v>2</v>
      </c>
      <c r="C45" s="4" t="s">
        <v>16</v>
      </c>
      <c r="D45" s="33">
        <v>4294</v>
      </c>
      <c r="E45" s="12">
        <f t="shared" si="0"/>
        <v>4723.4000000000005</v>
      </c>
      <c r="F45" s="10">
        <f t="shared" si="1"/>
        <v>2</v>
      </c>
      <c r="G45" s="12">
        <f t="shared" si="2"/>
        <v>9446.8000000000011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32">
        <v>42009</v>
      </c>
      <c r="B46" s="4">
        <v>1</v>
      </c>
      <c r="C46" s="4" t="s">
        <v>16</v>
      </c>
      <c r="D46" s="33">
        <v>4702</v>
      </c>
      <c r="E46" s="12">
        <f t="shared" si="0"/>
        <v>5172.2000000000007</v>
      </c>
      <c r="F46" s="10">
        <f t="shared" si="1"/>
        <v>2</v>
      </c>
      <c r="G46" s="12">
        <f t="shared" si="2"/>
        <v>10344.400000000001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32">
        <v>42009</v>
      </c>
      <c r="B47" s="4">
        <v>2</v>
      </c>
      <c r="C47" s="4" t="s">
        <v>16</v>
      </c>
      <c r="D47" s="33">
        <v>3319</v>
      </c>
      <c r="E47" s="12">
        <f t="shared" si="0"/>
        <v>3650.9</v>
      </c>
      <c r="F47" s="10">
        <f t="shared" si="1"/>
        <v>2</v>
      </c>
      <c r="G47" s="12">
        <f t="shared" si="2"/>
        <v>7301.8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32">
        <v>42016</v>
      </c>
      <c r="B48" s="4">
        <v>1</v>
      </c>
      <c r="C48" s="4" t="s">
        <v>16</v>
      </c>
      <c r="D48" s="33">
        <v>4031</v>
      </c>
      <c r="E48" s="12">
        <f t="shared" si="0"/>
        <v>4434.1000000000004</v>
      </c>
      <c r="F48" s="10">
        <f t="shared" si="1"/>
        <v>2</v>
      </c>
      <c r="G48" s="12">
        <f t="shared" si="2"/>
        <v>8868.2000000000007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32">
        <v>42016</v>
      </c>
      <c r="B49" s="4">
        <v>2</v>
      </c>
      <c r="C49" s="4" t="s">
        <v>16</v>
      </c>
      <c r="D49" s="33">
        <v>3024</v>
      </c>
      <c r="E49" s="12">
        <f t="shared" si="0"/>
        <v>3326.4</v>
      </c>
      <c r="F49" s="10">
        <f t="shared" si="1"/>
        <v>2</v>
      </c>
      <c r="G49" s="12">
        <f t="shared" si="2"/>
        <v>6652.8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32">
        <v>42023</v>
      </c>
      <c r="B50" s="4">
        <v>1</v>
      </c>
      <c r="C50" s="4" t="s">
        <v>16</v>
      </c>
      <c r="D50" s="33">
        <v>4338</v>
      </c>
      <c r="E50" s="12">
        <f t="shared" si="0"/>
        <v>4771.8</v>
      </c>
      <c r="F50" s="10">
        <f t="shared" si="1"/>
        <v>2</v>
      </c>
      <c r="G50" s="12">
        <f t="shared" si="2"/>
        <v>9543.6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32">
        <v>42023</v>
      </c>
      <c r="B51" s="4">
        <v>2</v>
      </c>
      <c r="C51" s="4" t="s">
        <v>16</v>
      </c>
      <c r="D51" s="33">
        <v>2688</v>
      </c>
      <c r="E51" s="12">
        <f t="shared" si="0"/>
        <v>2956.8</v>
      </c>
      <c r="F51" s="10">
        <f t="shared" si="1"/>
        <v>2</v>
      </c>
      <c r="G51" s="12">
        <f t="shared" si="2"/>
        <v>5913.6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32">
        <v>42030</v>
      </c>
      <c r="B52" s="4">
        <v>1</v>
      </c>
      <c r="C52" s="4" t="s">
        <v>16</v>
      </c>
      <c r="D52" s="33">
        <v>4495</v>
      </c>
      <c r="E52" s="12">
        <f t="shared" si="0"/>
        <v>4944.5</v>
      </c>
      <c r="F52" s="10">
        <f t="shared" si="1"/>
        <v>2</v>
      </c>
      <c r="G52" s="12">
        <f t="shared" si="2"/>
        <v>9889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32">
        <v>42030</v>
      </c>
      <c r="B53" s="4">
        <v>2</v>
      </c>
      <c r="C53" s="4" t="s">
        <v>16</v>
      </c>
      <c r="D53" s="33">
        <v>3448</v>
      </c>
      <c r="E53" s="12">
        <f t="shared" si="0"/>
        <v>3792.8</v>
      </c>
      <c r="F53" s="10">
        <f t="shared" si="1"/>
        <v>2</v>
      </c>
      <c r="G53" s="12">
        <f t="shared" si="2"/>
        <v>7585.6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32">
        <v>42037</v>
      </c>
      <c r="B54" s="4">
        <v>1</v>
      </c>
      <c r="C54" s="4" t="s">
        <v>16</v>
      </c>
      <c r="D54" s="33">
        <v>4174</v>
      </c>
      <c r="E54" s="12">
        <f t="shared" si="0"/>
        <v>4591.4000000000005</v>
      </c>
      <c r="F54" s="10">
        <f t="shared" si="1"/>
        <v>2</v>
      </c>
      <c r="G54" s="12">
        <f t="shared" si="2"/>
        <v>9182.8000000000011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32">
        <v>42037</v>
      </c>
      <c r="B55" s="4">
        <v>2</v>
      </c>
      <c r="C55" s="4" t="s">
        <v>16</v>
      </c>
      <c r="D55" s="33">
        <v>2843</v>
      </c>
      <c r="E55" s="12">
        <f t="shared" si="0"/>
        <v>3127.3</v>
      </c>
      <c r="F55" s="10">
        <f t="shared" si="1"/>
        <v>2</v>
      </c>
      <c r="G55" s="12">
        <f t="shared" si="2"/>
        <v>6254.6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32">
        <v>42044</v>
      </c>
      <c r="B56" s="4">
        <v>1</v>
      </c>
      <c r="C56" s="4" t="s">
        <v>16</v>
      </c>
      <c r="D56" s="33">
        <v>4882</v>
      </c>
      <c r="E56" s="12">
        <f t="shared" si="0"/>
        <v>5370.2000000000007</v>
      </c>
      <c r="F56" s="10">
        <f t="shared" si="1"/>
        <v>2</v>
      </c>
      <c r="G56" s="12">
        <f t="shared" si="2"/>
        <v>10740.400000000001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32">
        <v>42044</v>
      </c>
      <c r="B57" s="4">
        <v>2</v>
      </c>
      <c r="C57" s="4" t="s">
        <v>16</v>
      </c>
      <c r="D57" s="33">
        <v>4081</v>
      </c>
      <c r="E57" s="12">
        <f t="shared" si="0"/>
        <v>4489.1000000000004</v>
      </c>
      <c r="F57" s="10">
        <f t="shared" si="1"/>
        <v>2</v>
      </c>
      <c r="G57" s="12">
        <f t="shared" si="2"/>
        <v>8978.2000000000007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32">
        <v>42051</v>
      </c>
      <c r="B58" s="4">
        <v>1</v>
      </c>
      <c r="C58" s="4" t="s">
        <v>16</v>
      </c>
      <c r="D58" s="33">
        <v>4099</v>
      </c>
      <c r="E58" s="12">
        <f t="shared" si="0"/>
        <v>4508.9000000000005</v>
      </c>
      <c r="F58" s="10">
        <f t="shared" si="1"/>
        <v>2</v>
      </c>
      <c r="G58" s="12">
        <f t="shared" si="2"/>
        <v>9017.8000000000011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32">
        <v>42051</v>
      </c>
      <c r="B59" s="4">
        <v>2</v>
      </c>
      <c r="C59" s="4" t="s">
        <v>16</v>
      </c>
      <c r="D59" s="33">
        <v>3390</v>
      </c>
      <c r="E59" s="12">
        <f t="shared" si="0"/>
        <v>3729.0000000000005</v>
      </c>
      <c r="F59" s="10">
        <f t="shared" si="1"/>
        <v>2</v>
      </c>
      <c r="G59" s="12">
        <f t="shared" si="2"/>
        <v>7458.0000000000009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32">
        <v>42058</v>
      </c>
      <c r="B60" s="4">
        <v>1</v>
      </c>
      <c r="C60" s="4" t="s">
        <v>16</v>
      </c>
      <c r="D60" s="33">
        <v>4059</v>
      </c>
      <c r="E60" s="12">
        <f t="shared" si="0"/>
        <v>4464.9000000000005</v>
      </c>
      <c r="F60" s="10">
        <f t="shared" si="1"/>
        <v>2</v>
      </c>
      <c r="G60" s="12">
        <f t="shared" si="2"/>
        <v>8929.8000000000011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32">
        <v>42058</v>
      </c>
      <c r="B61" s="4">
        <v>2</v>
      </c>
      <c r="C61" s="4" t="s">
        <v>16</v>
      </c>
      <c r="D61" s="33">
        <v>2438</v>
      </c>
      <c r="E61" s="12">
        <f t="shared" si="0"/>
        <v>2681.8</v>
      </c>
      <c r="F61" s="10">
        <f t="shared" si="1"/>
        <v>2</v>
      </c>
      <c r="G61" s="12">
        <f t="shared" si="2"/>
        <v>5363.6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32">
        <v>42065</v>
      </c>
      <c r="B62" s="4">
        <v>1</v>
      </c>
      <c r="C62" s="4" t="s">
        <v>16</v>
      </c>
      <c r="D62" s="33">
        <v>4212</v>
      </c>
      <c r="E62" s="12">
        <f t="shared" si="0"/>
        <v>4633.2000000000007</v>
      </c>
      <c r="F62" s="10">
        <f t="shared" si="1"/>
        <v>2</v>
      </c>
      <c r="G62" s="12">
        <f t="shared" si="2"/>
        <v>9266.4000000000015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32">
        <v>42065</v>
      </c>
      <c r="B63" s="4">
        <v>2</v>
      </c>
      <c r="C63" s="4" t="s">
        <v>16</v>
      </c>
      <c r="D63" s="33">
        <v>2588</v>
      </c>
      <c r="E63" s="12">
        <f t="shared" si="0"/>
        <v>2846.8</v>
      </c>
      <c r="F63" s="10">
        <f t="shared" si="1"/>
        <v>2</v>
      </c>
      <c r="G63" s="12">
        <f t="shared" si="2"/>
        <v>5693.6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32">
        <v>42072</v>
      </c>
      <c r="B64" s="4">
        <v>1</v>
      </c>
      <c r="C64" s="4" t="s">
        <v>16</v>
      </c>
      <c r="D64" s="33">
        <v>6055</v>
      </c>
      <c r="E64" s="12">
        <f t="shared" si="0"/>
        <v>6660.5000000000009</v>
      </c>
      <c r="F64" s="10">
        <f t="shared" si="1"/>
        <v>2</v>
      </c>
      <c r="G64" s="12">
        <f t="shared" si="2"/>
        <v>13321.000000000002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32">
        <v>42072</v>
      </c>
      <c r="B65" s="4">
        <v>2</v>
      </c>
      <c r="C65" s="4" t="s">
        <v>16</v>
      </c>
      <c r="D65" s="33">
        <v>5147</v>
      </c>
      <c r="E65" s="12">
        <f t="shared" si="0"/>
        <v>5661.7000000000007</v>
      </c>
      <c r="F65" s="10">
        <f t="shared" si="1"/>
        <v>2</v>
      </c>
      <c r="G65" s="12">
        <f t="shared" si="2"/>
        <v>11323.400000000001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32">
        <v>42079</v>
      </c>
      <c r="B66" s="4">
        <v>1</v>
      </c>
      <c r="C66" s="4" t="s">
        <v>16</v>
      </c>
      <c r="D66" s="33">
        <v>5042</v>
      </c>
      <c r="E66" s="12">
        <f t="shared" si="0"/>
        <v>5546.2000000000007</v>
      </c>
      <c r="F66" s="10">
        <f t="shared" si="1"/>
        <v>2</v>
      </c>
      <c r="G66" s="12">
        <f t="shared" si="2"/>
        <v>11092.400000000001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32">
        <v>42079</v>
      </c>
      <c r="B67" s="4">
        <v>2</v>
      </c>
      <c r="C67" s="4" t="s">
        <v>16</v>
      </c>
      <c r="D67" s="33">
        <v>4232</v>
      </c>
      <c r="E67" s="12">
        <f t="shared" si="0"/>
        <v>4655.2000000000007</v>
      </c>
      <c r="F67" s="10">
        <f t="shared" si="1"/>
        <v>2</v>
      </c>
      <c r="G67" s="12">
        <f t="shared" si="2"/>
        <v>9310.4000000000015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32">
        <v>42086</v>
      </c>
      <c r="B68" s="4">
        <v>1</v>
      </c>
      <c r="C68" s="4" t="s">
        <v>16</v>
      </c>
      <c r="D68" s="33">
        <v>3806</v>
      </c>
      <c r="E68" s="12">
        <f t="shared" si="0"/>
        <v>4186.6000000000004</v>
      </c>
      <c r="F68" s="10">
        <f t="shared" si="1"/>
        <v>2</v>
      </c>
      <c r="G68" s="12">
        <f t="shared" si="2"/>
        <v>8373.2000000000007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32">
        <v>42086</v>
      </c>
      <c r="B69" s="4">
        <v>2</v>
      </c>
      <c r="C69" s="4" t="s">
        <v>16</v>
      </c>
      <c r="D69" s="33">
        <v>2819</v>
      </c>
      <c r="E69" s="12">
        <f t="shared" si="0"/>
        <v>3100.9</v>
      </c>
      <c r="F69" s="10">
        <f t="shared" si="1"/>
        <v>2</v>
      </c>
      <c r="G69" s="12">
        <f t="shared" si="2"/>
        <v>6201.8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32">
        <v>42093</v>
      </c>
      <c r="B70" s="4">
        <v>1</v>
      </c>
      <c r="C70" s="4" t="s">
        <v>16</v>
      </c>
      <c r="D70" s="33">
        <v>4470</v>
      </c>
      <c r="E70" s="12">
        <f t="shared" si="0"/>
        <v>4917</v>
      </c>
      <c r="F70" s="10">
        <f t="shared" si="1"/>
        <v>2</v>
      </c>
      <c r="G70" s="12">
        <f t="shared" si="2"/>
        <v>9834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32">
        <v>42093</v>
      </c>
      <c r="B71" s="4">
        <v>2</v>
      </c>
      <c r="C71" s="4" t="s">
        <v>16</v>
      </c>
      <c r="D71" s="33">
        <v>2809</v>
      </c>
      <c r="E71" s="12">
        <f t="shared" si="0"/>
        <v>3089.9</v>
      </c>
      <c r="F71" s="10">
        <f t="shared" si="1"/>
        <v>2</v>
      </c>
      <c r="G71" s="12">
        <f t="shared" si="2"/>
        <v>6179.8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32">
        <v>42100</v>
      </c>
      <c r="B72" s="4">
        <v>1</v>
      </c>
      <c r="C72" s="4" t="s">
        <v>16</v>
      </c>
      <c r="D72" s="33">
        <v>4799</v>
      </c>
      <c r="E72" s="12">
        <f t="shared" si="0"/>
        <v>5278.9000000000005</v>
      </c>
      <c r="F72" s="10">
        <f t="shared" si="1"/>
        <v>2</v>
      </c>
      <c r="G72" s="12">
        <f t="shared" si="2"/>
        <v>10557.800000000001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32">
        <v>42100</v>
      </c>
      <c r="B73" s="4">
        <v>2</v>
      </c>
      <c r="C73" s="4" t="s">
        <v>16</v>
      </c>
      <c r="D73" s="33">
        <v>3712</v>
      </c>
      <c r="E73" s="12">
        <f t="shared" si="0"/>
        <v>4083.2000000000003</v>
      </c>
      <c r="F73" s="10">
        <f t="shared" si="1"/>
        <v>2</v>
      </c>
      <c r="G73" s="12">
        <f t="shared" si="2"/>
        <v>8166.4000000000005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32">
        <v>42107</v>
      </c>
      <c r="B74" s="4">
        <v>1</v>
      </c>
      <c r="C74" s="4" t="s">
        <v>16</v>
      </c>
      <c r="D74" s="33">
        <v>4366</v>
      </c>
      <c r="E74" s="12">
        <f t="shared" si="0"/>
        <v>4802.6000000000004</v>
      </c>
      <c r="F74" s="10">
        <f t="shared" si="1"/>
        <v>2</v>
      </c>
      <c r="G74" s="12">
        <f t="shared" si="2"/>
        <v>9605.2000000000007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32">
        <v>42107</v>
      </c>
      <c r="B75" s="4">
        <v>2</v>
      </c>
      <c r="C75" s="4" t="s">
        <v>16</v>
      </c>
      <c r="D75" s="33">
        <v>3318</v>
      </c>
      <c r="E75" s="12">
        <f t="shared" si="0"/>
        <v>3649.8</v>
      </c>
      <c r="F75" s="10">
        <f t="shared" si="1"/>
        <v>2</v>
      </c>
      <c r="G75" s="12">
        <f t="shared" si="2"/>
        <v>7299.6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32">
        <v>42114</v>
      </c>
      <c r="B76" s="4">
        <v>1</v>
      </c>
      <c r="C76" s="4" t="s">
        <v>16</v>
      </c>
      <c r="D76" s="33">
        <v>4765</v>
      </c>
      <c r="E76" s="12">
        <f t="shared" si="0"/>
        <v>5241.5</v>
      </c>
      <c r="F76" s="10">
        <f t="shared" si="1"/>
        <v>2</v>
      </c>
      <c r="G76" s="12">
        <f t="shared" si="2"/>
        <v>10483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32">
        <v>42114</v>
      </c>
      <c r="B77" s="4">
        <v>2</v>
      </c>
      <c r="C77" s="4" t="s">
        <v>16</v>
      </c>
      <c r="D77" s="33">
        <v>3689</v>
      </c>
      <c r="E77" s="12">
        <f t="shared" si="0"/>
        <v>4057.9000000000005</v>
      </c>
      <c r="F77" s="10">
        <f t="shared" si="1"/>
        <v>2</v>
      </c>
      <c r="G77" s="12">
        <f t="shared" si="2"/>
        <v>8115.8000000000011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32">
        <v>42121</v>
      </c>
      <c r="B78" s="4">
        <v>1</v>
      </c>
      <c r="C78" s="4" t="s">
        <v>16</v>
      </c>
      <c r="D78" s="33">
        <v>5134</v>
      </c>
      <c r="E78" s="12">
        <f t="shared" si="0"/>
        <v>5647.4000000000005</v>
      </c>
      <c r="F78" s="10">
        <f t="shared" si="1"/>
        <v>2</v>
      </c>
      <c r="G78" s="12">
        <f t="shared" si="2"/>
        <v>11294.800000000001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32">
        <v>42121</v>
      </c>
      <c r="B79" s="4">
        <v>2</v>
      </c>
      <c r="C79" s="4" t="s">
        <v>16</v>
      </c>
      <c r="D79" s="33">
        <v>3406</v>
      </c>
      <c r="E79" s="12">
        <f t="shared" si="0"/>
        <v>3746.6000000000004</v>
      </c>
      <c r="F79" s="10">
        <f t="shared" si="1"/>
        <v>2</v>
      </c>
      <c r="G79" s="12">
        <f t="shared" si="2"/>
        <v>7493.2000000000007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32">
        <v>42128</v>
      </c>
      <c r="B80" s="4">
        <v>1</v>
      </c>
      <c r="C80" s="4" t="s">
        <v>16</v>
      </c>
      <c r="D80" s="33">
        <v>4802</v>
      </c>
      <c r="E80" s="12">
        <f t="shared" si="0"/>
        <v>5282.2000000000007</v>
      </c>
      <c r="F80" s="10">
        <f t="shared" si="1"/>
        <v>2</v>
      </c>
      <c r="G80" s="12">
        <f t="shared" si="2"/>
        <v>10564.400000000001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32">
        <v>42128</v>
      </c>
      <c r="B81" s="4">
        <v>2</v>
      </c>
      <c r="C81" s="4" t="s">
        <v>16</v>
      </c>
      <c r="D81" s="33">
        <v>3714</v>
      </c>
      <c r="E81" s="12">
        <f t="shared" si="0"/>
        <v>4085.4000000000005</v>
      </c>
      <c r="F81" s="10">
        <f t="shared" si="1"/>
        <v>2</v>
      </c>
      <c r="G81" s="12">
        <f t="shared" si="2"/>
        <v>8170.8000000000011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32">
        <v>42135</v>
      </c>
      <c r="B82" s="4">
        <v>1</v>
      </c>
      <c r="C82" s="4" t="s">
        <v>16</v>
      </c>
      <c r="D82" s="33">
        <v>5394</v>
      </c>
      <c r="E82" s="12">
        <f t="shared" si="0"/>
        <v>5933.4000000000005</v>
      </c>
      <c r="F82" s="10">
        <f t="shared" si="1"/>
        <v>2</v>
      </c>
      <c r="G82" s="12">
        <f t="shared" si="2"/>
        <v>11866.800000000001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32">
        <v>42135</v>
      </c>
      <c r="B83" s="4">
        <v>2</v>
      </c>
      <c r="C83" s="4" t="s">
        <v>16</v>
      </c>
      <c r="D83" s="33">
        <v>3944</v>
      </c>
      <c r="E83" s="12">
        <f t="shared" si="0"/>
        <v>4338.4000000000005</v>
      </c>
      <c r="F83" s="10">
        <f t="shared" si="1"/>
        <v>2</v>
      </c>
      <c r="G83" s="12">
        <f t="shared" si="2"/>
        <v>8676.8000000000011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32">
        <v>42142</v>
      </c>
      <c r="B84" s="4">
        <v>1</v>
      </c>
      <c r="C84" s="4" t="s">
        <v>16</v>
      </c>
      <c r="D84" s="33">
        <v>5205</v>
      </c>
      <c r="E84" s="12">
        <f t="shared" si="0"/>
        <v>5725.5000000000009</v>
      </c>
      <c r="F84" s="10">
        <f t="shared" si="1"/>
        <v>2</v>
      </c>
      <c r="G84" s="12">
        <f t="shared" si="2"/>
        <v>11451.000000000002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32">
        <v>42142</v>
      </c>
      <c r="B85" s="4">
        <v>2</v>
      </c>
      <c r="C85" s="4" t="s">
        <v>16</v>
      </c>
      <c r="D85" s="33">
        <v>3778</v>
      </c>
      <c r="E85" s="12">
        <f t="shared" si="0"/>
        <v>4155.8</v>
      </c>
      <c r="F85" s="10">
        <f t="shared" si="1"/>
        <v>2</v>
      </c>
      <c r="G85" s="12">
        <f t="shared" si="2"/>
        <v>8311.6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32">
        <v>42149</v>
      </c>
      <c r="B86" s="4">
        <v>1</v>
      </c>
      <c r="C86" s="4" t="s">
        <v>16</v>
      </c>
      <c r="D86" s="33">
        <v>5253</v>
      </c>
      <c r="E86" s="12">
        <f t="shared" si="0"/>
        <v>5778.3</v>
      </c>
      <c r="F86" s="10">
        <f t="shared" si="1"/>
        <v>2</v>
      </c>
      <c r="G86" s="12">
        <f t="shared" si="2"/>
        <v>11556.6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32">
        <v>42149</v>
      </c>
      <c r="B87" s="4">
        <v>2</v>
      </c>
      <c r="C87" s="4" t="s">
        <v>16</v>
      </c>
      <c r="D87" s="33">
        <v>4415</v>
      </c>
      <c r="E87" s="12">
        <f t="shared" si="0"/>
        <v>4856.5</v>
      </c>
      <c r="F87" s="10">
        <f t="shared" si="1"/>
        <v>2</v>
      </c>
      <c r="G87" s="12">
        <f t="shared" si="2"/>
        <v>9713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32">
        <v>42156</v>
      </c>
      <c r="B88" s="4">
        <v>1</v>
      </c>
      <c r="C88" s="4" t="s">
        <v>16</v>
      </c>
      <c r="D88" s="33">
        <v>5281</v>
      </c>
      <c r="E88" s="12">
        <f t="shared" si="0"/>
        <v>5809.1</v>
      </c>
      <c r="F88" s="10">
        <f t="shared" si="1"/>
        <v>2</v>
      </c>
      <c r="G88" s="12">
        <f t="shared" si="2"/>
        <v>11618.2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32">
        <v>42156</v>
      </c>
      <c r="B89" s="4">
        <v>2</v>
      </c>
      <c r="C89" s="4" t="s">
        <v>16</v>
      </c>
      <c r="D89" s="33">
        <v>4453</v>
      </c>
      <c r="E89" s="12">
        <f t="shared" si="0"/>
        <v>4898.3</v>
      </c>
      <c r="F89" s="10">
        <f t="shared" si="1"/>
        <v>2</v>
      </c>
      <c r="G89" s="12">
        <f t="shared" si="2"/>
        <v>9796.6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32">
        <v>42163</v>
      </c>
      <c r="B90" s="4">
        <v>1</v>
      </c>
      <c r="C90" s="4" t="s">
        <v>16</v>
      </c>
      <c r="D90" s="33">
        <v>5168</v>
      </c>
      <c r="E90" s="12">
        <f t="shared" si="0"/>
        <v>5684.8</v>
      </c>
      <c r="F90" s="10">
        <f t="shared" si="1"/>
        <v>2</v>
      </c>
      <c r="G90" s="12">
        <f t="shared" si="2"/>
        <v>11369.6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32">
        <v>42163</v>
      </c>
      <c r="B91" s="4">
        <v>2</v>
      </c>
      <c r="C91" s="4" t="s">
        <v>16</v>
      </c>
      <c r="D91" s="33">
        <v>4044</v>
      </c>
      <c r="E91" s="12">
        <f t="shared" si="0"/>
        <v>4448.4000000000005</v>
      </c>
      <c r="F91" s="10">
        <f t="shared" si="1"/>
        <v>2</v>
      </c>
      <c r="G91" s="12">
        <f t="shared" si="2"/>
        <v>8896.8000000000011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32">
        <v>42170</v>
      </c>
      <c r="B92" s="4">
        <v>1</v>
      </c>
      <c r="C92" s="4" t="s">
        <v>16</v>
      </c>
      <c r="D92" s="33">
        <v>5038</v>
      </c>
      <c r="E92" s="12">
        <f t="shared" si="0"/>
        <v>5541.8</v>
      </c>
      <c r="F92" s="10">
        <f t="shared" si="1"/>
        <v>2</v>
      </c>
      <c r="G92" s="12">
        <f t="shared" si="2"/>
        <v>11083.6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32">
        <v>42170</v>
      </c>
      <c r="B93" s="4">
        <v>2</v>
      </c>
      <c r="C93" s="4" t="s">
        <v>16</v>
      </c>
      <c r="D93" s="33">
        <v>4232</v>
      </c>
      <c r="E93" s="12">
        <f t="shared" si="0"/>
        <v>4655.2000000000007</v>
      </c>
      <c r="F93" s="10">
        <f t="shared" si="1"/>
        <v>2</v>
      </c>
      <c r="G93" s="12">
        <f t="shared" si="2"/>
        <v>9310.4000000000015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32">
        <v>42177</v>
      </c>
      <c r="B94" s="4">
        <v>1</v>
      </c>
      <c r="C94" s="4" t="s">
        <v>16</v>
      </c>
      <c r="D94" s="33">
        <v>4650</v>
      </c>
      <c r="E94" s="12">
        <f t="shared" si="0"/>
        <v>5115</v>
      </c>
      <c r="F94" s="10">
        <f t="shared" si="1"/>
        <v>2</v>
      </c>
      <c r="G94" s="12">
        <f t="shared" si="2"/>
        <v>10230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32">
        <v>42177</v>
      </c>
      <c r="B95" s="4">
        <v>2</v>
      </c>
      <c r="C95" s="4" t="s">
        <v>16</v>
      </c>
      <c r="D95" s="33">
        <v>2982</v>
      </c>
      <c r="E95" s="12">
        <f t="shared" si="0"/>
        <v>3280.2000000000003</v>
      </c>
      <c r="F95" s="10">
        <f t="shared" si="1"/>
        <v>2</v>
      </c>
      <c r="G95" s="12">
        <f t="shared" si="2"/>
        <v>6560.4000000000005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32">
        <v>42184</v>
      </c>
      <c r="B96" s="4">
        <v>1</v>
      </c>
      <c r="C96" s="4" t="s">
        <v>16</v>
      </c>
      <c r="D96" s="33">
        <v>5914</v>
      </c>
      <c r="E96" s="12">
        <f t="shared" si="0"/>
        <v>6505.4000000000005</v>
      </c>
      <c r="F96" s="10">
        <f t="shared" si="1"/>
        <v>2</v>
      </c>
      <c r="G96" s="12">
        <f t="shared" si="2"/>
        <v>13010.800000000001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32">
        <v>42184</v>
      </c>
      <c r="B97" s="4">
        <v>2</v>
      </c>
      <c r="C97" s="4" t="s">
        <v>16</v>
      </c>
      <c r="D97" s="33">
        <v>4112</v>
      </c>
      <c r="E97" s="12">
        <f t="shared" si="0"/>
        <v>4523.2000000000007</v>
      </c>
      <c r="F97" s="10">
        <f t="shared" si="1"/>
        <v>2</v>
      </c>
      <c r="G97" s="12">
        <f t="shared" si="2"/>
        <v>9046.4000000000015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32">
        <v>42191</v>
      </c>
      <c r="B98" s="4">
        <v>1</v>
      </c>
      <c r="C98" s="4" t="s">
        <v>16</v>
      </c>
      <c r="D98" s="33">
        <v>5835</v>
      </c>
      <c r="E98" s="12">
        <f t="shared" si="0"/>
        <v>6418.5000000000009</v>
      </c>
      <c r="F98" s="10">
        <f t="shared" si="1"/>
        <v>2</v>
      </c>
      <c r="G98" s="12">
        <f t="shared" si="2"/>
        <v>12837.000000000002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32">
        <v>42191</v>
      </c>
      <c r="B99" s="4">
        <v>2</v>
      </c>
      <c r="C99" s="4" t="s">
        <v>16</v>
      </c>
      <c r="D99" s="33">
        <v>4945</v>
      </c>
      <c r="E99" s="12">
        <f t="shared" si="0"/>
        <v>5439.5</v>
      </c>
      <c r="F99" s="10">
        <f t="shared" si="1"/>
        <v>2</v>
      </c>
      <c r="G99" s="12">
        <f t="shared" si="2"/>
        <v>10879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">
      <c r="A100" s="32">
        <v>42198</v>
      </c>
      <c r="B100" s="4">
        <v>1</v>
      </c>
      <c r="C100" s="4" t="s">
        <v>16</v>
      </c>
      <c r="D100" s="33">
        <v>5542</v>
      </c>
      <c r="E100" s="12">
        <f t="shared" si="0"/>
        <v>6096.2000000000007</v>
      </c>
      <c r="F100" s="10">
        <f t="shared" si="1"/>
        <v>2</v>
      </c>
      <c r="G100" s="12">
        <f t="shared" si="2"/>
        <v>12192.400000000001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32">
        <v>42198</v>
      </c>
      <c r="B101" s="4">
        <v>2</v>
      </c>
      <c r="C101" s="4" t="s">
        <v>16</v>
      </c>
      <c r="D101" s="33">
        <v>3776</v>
      </c>
      <c r="E101" s="12">
        <f t="shared" si="0"/>
        <v>4153.6000000000004</v>
      </c>
      <c r="F101" s="10">
        <f t="shared" si="1"/>
        <v>2</v>
      </c>
      <c r="G101" s="12">
        <f t="shared" si="2"/>
        <v>8307.2000000000007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32">
        <v>42205</v>
      </c>
      <c r="B102" s="4">
        <v>1</v>
      </c>
      <c r="C102" s="4" t="s">
        <v>16</v>
      </c>
      <c r="D102" s="33">
        <v>5355</v>
      </c>
      <c r="E102" s="12">
        <f t="shared" si="0"/>
        <v>5890.5000000000009</v>
      </c>
      <c r="F102" s="10">
        <f t="shared" si="1"/>
        <v>2</v>
      </c>
      <c r="G102" s="12">
        <f t="shared" si="2"/>
        <v>11781.000000000002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32">
        <v>42205</v>
      </c>
      <c r="B103" s="4">
        <v>2</v>
      </c>
      <c r="C103" s="4" t="s">
        <v>16</v>
      </c>
      <c r="D103" s="33">
        <v>4522</v>
      </c>
      <c r="E103" s="12">
        <f t="shared" si="0"/>
        <v>4974.2000000000007</v>
      </c>
      <c r="F103" s="10">
        <f t="shared" si="1"/>
        <v>2</v>
      </c>
      <c r="G103" s="12">
        <f t="shared" si="2"/>
        <v>9948.4000000000015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32">
        <v>42212</v>
      </c>
      <c r="B104" s="4">
        <v>1</v>
      </c>
      <c r="C104" s="4" t="s">
        <v>16</v>
      </c>
      <c r="D104" s="33">
        <v>5038</v>
      </c>
      <c r="E104" s="12">
        <f t="shared" si="0"/>
        <v>5541.8</v>
      </c>
      <c r="F104" s="10">
        <f t="shared" si="1"/>
        <v>2</v>
      </c>
      <c r="G104" s="12">
        <f t="shared" si="2"/>
        <v>11083.6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32">
        <v>42212</v>
      </c>
      <c r="B105" s="4">
        <v>2</v>
      </c>
      <c r="C105" s="4" t="s">
        <v>16</v>
      </c>
      <c r="D105" s="33">
        <v>3924</v>
      </c>
      <c r="E105" s="12">
        <f t="shared" si="0"/>
        <v>4316.4000000000005</v>
      </c>
      <c r="F105" s="10">
        <f t="shared" si="1"/>
        <v>2</v>
      </c>
      <c r="G105" s="12">
        <f t="shared" si="2"/>
        <v>8632.8000000000011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22"/>
      <c r="B106" s="7"/>
      <c r="C106" s="7"/>
      <c r="D106" s="21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22"/>
      <c r="B107" s="7"/>
      <c r="C107" s="7"/>
      <c r="D107" s="23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22"/>
      <c r="B108" s="7"/>
      <c r="C108" s="7"/>
      <c r="D108" s="21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22"/>
      <c r="B109" s="7"/>
      <c r="C109" s="7"/>
      <c r="D109" s="21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22"/>
      <c r="B110" s="7"/>
      <c r="C110" s="7"/>
      <c r="D110" s="21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22"/>
      <c r="B111" s="7"/>
      <c r="C111" s="7"/>
      <c r="D111" s="21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22"/>
      <c r="B112" s="7"/>
      <c r="C112" s="7"/>
      <c r="D112" s="21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22"/>
      <c r="B113" s="7"/>
      <c r="C113" s="7"/>
      <c r="D113" s="21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22"/>
      <c r="B114" s="7"/>
      <c r="C114" s="7"/>
      <c r="D114" s="21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22"/>
      <c r="B115" s="7"/>
      <c r="C115" s="7"/>
      <c r="D115" s="21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22"/>
      <c r="B116" s="7"/>
      <c r="C116" s="7"/>
      <c r="D116" s="21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22"/>
      <c r="B117" s="7"/>
      <c r="C117" s="7"/>
      <c r="D117" s="21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22"/>
      <c r="B118" s="7"/>
      <c r="C118" s="7"/>
      <c r="D118" s="21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22"/>
      <c r="B119" s="7"/>
      <c r="C119" s="7"/>
      <c r="D119" s="21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22"/>
      <c r="B120" s="7"/>
      <c r="C120" s="7"/>
      <c r="D120" s="21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22"/>
      <c r="B121" s="7"/>
      <c r="C121" s="7"/>
      <c r="D121" s="21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22"/>
      <c r="B122" s="7"/>
      <c r="C122" s="7"/>
      <c r="D122" s="21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22"/>
      <c r="B123" s="7"/>
      <c r="C123" s="7"/>
      <c r="D123" s="21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22"/>
      <c r="B124" s="7"/>
      <c r="C124" s="7"/>
      <c r="D124" s="21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22"/>
      <c r="B125" s="7"/>
      <c r="C125" s="7"/>
      <c r="D125" s="21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22"/>
      <c r="B126" s="7"/>
      <c r="C126" s="7"/>
      <c r="D126" s="21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22"/>
      <c r="B127" s="7"/>
      <c r="C127" s="7"/>
      <c r="D127" s="21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22"/>
      <c r="B128" s="7"/>
      <c r="C128" s="7"/>
      <c r="D128" s="21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22"/>
      <c r="B129" s="7"/>
      <c r="C129" s="7"/>
      <c r="D129" s="21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22"/>
      <c r="B130" s="7"/>
      <c r="C130" s="7"/>
      <c r="D130" s="21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22"/>
      <c r="B131" s="7"/>
      <c r="C131" s="7"/>
      <c r="D131" s="21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22"/>
      <c r="B132" s="7"/>
      <c r="C132" s="7"/>
      <c r="D132" s="21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22"/>
      <c r="B133" s="7"/>
      <c r="C133" s="7"/>
      <c r="D133" s="21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22"/>
      <c r="B134" s="7"/>
      <c r="C134" s="7"/>
      <c r="D134" s="21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22"/>
      <c r="B135" s="7"/>
      <c r="C135" s="7"/>
      <c r="D135" s="21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22"/>
      <c r="B136" s="7"/>
      <c r="C136" s="7"/>
      <c r="D136" s="21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22"/>
      <c r="B137" s="7"/>
      <c r="C137" s="7"/>
      <c r="D137" s="21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22"/>
      <c r="B138" s="7"/>
      <c r="C138" s="7"/>
      <c r="D138" s="21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22"/>
      <c r="B139" s="7"/>
      <c r="C139" s="7"/>
      <c r="D139" s="21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22"/>
      <c r="B140" s="7"/>
      <c r="C140" s="7"/>
      <c r="D140" s="21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22"/>
      <c r="B141" s="7"/>
      <c r="C141" s="7"/>
      <c r="D141" s="21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22"/>
      <c r="B142" s="7"/>
      <c r="C142" s="7"/>
      <c r="D142" s="21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22"/>
      <c r="B143" s="7"/>
      <c r="C143" s="7"/>
      <c r="D143" s="21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22"/>
      <c r="B144" s="7"/>
      <c r="C144" s="7"/>
      <c r="D144" s="21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22"/>
      <c r="B145" s="7"/>
      <c r="C145" s="7"/>
      <c r="D145" s="21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22"/>
      <c r="B146" s="7"/>
      <c r="C146" s="7"/>
      <c r="D146" s="21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22"/>
      <c r="B147" s="7"/>
      <c r="C147" s="7"/>
      <c r="D147" s="21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22"/>
      <c r="B148" s="7"/>
      <c r="C148" s="7"/>
      <c r="D148" s="21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22"/>
      <c r="B149" s="7"/>
      <c r="C149" s="7"/>
      <c r="D149" s="21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22"/>
      <c r="B150" s="7"/>
      <c r="C150" s="7"/>
      <c r="D150" s="21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22"/>
      <c r="B151" s="7"/>
      <c r="C151" s="7"/>
      <c r="D151" s="21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22"/>
      <c r="B152" s="7"/>
      <c r="C152" s="7"/>
      <c r="D152" s="21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22"/>
      <c r="B153" s="7"/>
      <c r="C153" s="7"/>
      <c r="D153" s="21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22"/>
      <c r="B154" s="7"/>
      <c r="C154" s="7"/>
      <c r="D154" s="21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22"/>
      <c r="B155" s="7"/>
      <c r="C155" s="7"/>
      <c r="D155" s="21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22"/>
      <c r="B156" s="7"/>
      <c r="C156" s="7"/>
      <c r="D156" s="21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22"/>
      <c r="B157" s="7"/>
      <c r="C157" s="7"/>
      <c r="D157" s="21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22"/>
      <c r="B158" s="7"/>
      <c r="C158" s="7"/>
      <c r="D158" s="21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22"/>
      <c r="B159" s="7"/>
      <c r="C159" s="7"/>
      <c r="D159" s="21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22"/>
      <c r="B160" s="7"/>
      <c r="C160" s="7"/>
      <c r="D160" s="21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22"/>
      <c r="B161" s="7"/>
      <c r="C161" s="7"/>
      <c r="D161" s="21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22"/>
      <c r="B162" s="7"/>
      <c r="C162" s="7"/>
      <c r="D162" s="21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22"/>
      <c r="B163" s="7"/>
      <c r="C163" s="7"/>
      <c r="D163" s="21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22"/>
      <c r="B164" s="7"/>
      <c r="C164" s="7"/>
      <c r="D164" s="21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22"/>
      <c r="B165" s="7"/>
      <c r="C165" s="7"/>
      <c r="D165" s="21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22"/>
      <c r="B166" s="7"/>
      <c r="C166" s="7"/>
      <c r="D166" s="21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22"/>
      <c r="B167" s="7"/>
      <c r="C167" s="7"/>
      <c r="D167" s="21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22"/>
      <c r="B168" s="7"/>
      <c r="C168" s="7"/>
      <c r="D168" s="21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22"/>
      <c r="B169" s="7"/>
      <c r="C169" s="7"/>
      <c r="D169" s="21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22"/>
      <c r="B170" s="7"/>
      <c r="C170" s="7"/>
      <c r="D170" s="21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22"/>
      <c r="B171" s="7"/>
      <c r="C171" s="7"/>
      <c r="D171" s="21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22"/>
      <c r="B172" s="7"/>
      <c r="C172" s="7"/>
      <c r="D172" s="21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22"/>
      <c r="B173" s="7"/>
      <c r="C173" s="7"/>
      <c r="D173" s="21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22"/>
      <c r="B174" s="7"/>
      <c r="C174" s="7"/>
      <c r="D174" s="21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22"/>
      <c r="B175" s="7"/>
      <c r="C175" s="7"/>
      <c r="D175" s="21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22"/>
      <c r="B176" s="7"/>
      <c r="C176" s="7"/>
      <c r="D176" s="21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22"/>
      <c r="B177" s="7"/>
      <c r="C177" s="7"/>
      <c r="D177" s="21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22"/>
      <c r="B178" s="7"/>
      <c r="C178" s="7"/>
      <c r="D178" s="21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22"/>
      <c r="B179" s="7"/>
      <c r="C179" s="7"/>
      <c r="D179" s="21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22"/>
      <c r="B180" s="7"/>
      <c r="C180" s="7"/>
      <c r="D180" s="21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22"/>
      <c r="B181" s="7"/>
      <c r="C181" s="7"/>
      <c r="D181" s="21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22"/>
      <c r="B182" s="7"/>
      <c r="C182" s="7"/>
      <c r="D182" s="21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22"/>
      <c r="B183" s="7"/>
      <c r="C183" s="7"/>
      <c r="D183" s="21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22"/>
      <c r="B184" s="7"/>
      <c r="C184" s="7"/>
      <c r="D184" s="21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22"/>
      <c r="B185" s="7"/>
      <c r="C185" s="7"/>
      <c r="D185" s="21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22"/>
      <c r="B186" s="7"/>
      <c r="C186" s="7"/>
      <c r="D186" s="21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22"/>
      <c r="B187" s="7"/>
      <c r="C187" s="7"/>
      <c r="D187" s="21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22"/>
      <c r="B188" s="7"/>
      <c r="C188" s="7"/>
      <c r="D188" s="21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22"/>
      <c r="B189" s="7"/>
      <c r="C189" s="7"/>
      <c r="D189" s="2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22"/>
      <c r="B190" s="7"/>
      <c r="C190" s="7"/>
      <c r="D190" s="21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22"/>
      <c r="B191" s="7"/>
      <c r="C191" s="7"/>
      <c r="D191" s="21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22"/>
      <c r="B192" s="7"/>
      <c r="C192" s="7"/>
      <c r="D192" s="21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22"/>
      <c r="B193" s="7"/>
      <c r="C193" s="7"/>
      <c r="D193" s="21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22"/>
      <c r="B194" s="7"/>
      <c r="C194" s="7"/>
      <c r="D194" s="2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22"/>
      <c r="B195" s="7"/>
      <c r="C195" s="7"/>
      <c r="D195" s="21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22"/>
      <c r="B196" s="7"/>
      <c r="C196" s="7"/>
      <c r="D196" s="21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22"/>
      <c r="B197" s="7"/>
      <c r="C197" s="7"/>
      <c r="D197" s="21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22"/>
      <c r="B198" s="7"/>
      <c r="C198" s="7"/>
      <c r="D198" s="21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22"/>
      <c r="B199" s="7"/>
      <c r="C199" s="7"/>
      <c r="D199" s="21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22"/>
      <c r="B200" s="7"/>
      <c r="C200" s="7"/>
      <c r="D200" s="21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22"/>
      <c r="B201" s="7"/>
      <c r="C201" s="7"/>
      <c r="D201" s="2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22"/>
      <c r="B202" s="7"/>
      <c r="C202" s="7"/>
      <c r="D202" s="21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22"/>
      <c r="B203" s="7"/>
      <c r="C203" s="7"/>
      <c r="D203" s="21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22"/>
      <c r="B204" s="7"/>
      <c r="C204" s="7"/>
      <c r="D204" s="21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22"/>
      <c r="B205" s="7"/>
      <c r="C205" s="7"/>
      <c r="D205" s="21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22"/>
      <c r="B206" s="7"/>
      <c r="C206" s="7"/>
      <c r="D206" s="2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22"/>
      <c r="B207" s="7"/>
      <c r="C207" s="7"/>
      <c r="D207" s="21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22"/>
      <c r="B208" s="7"/>
      <c r="C208" s="7"/>
      <c r="D208" s="21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22"/>
      <c r="B209" s="7"/>
      <c r="C209" s="7"/>
      <c r="D209" s="21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22"/>
      <c r="B210" s="7"/>
      <c r="C210" s="7"/>
      <c r="D210" s="21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22"/>
      <c r="B211" s="7"/>
      <c r="C211" s="7"/>
      <c r="D211" s="21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22"/>
      <c r="B212" s="7"/>
      <c r="C212" s="7"/>
      <c r="D212" s="21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22"/>
      <c r="B213" s="7"/>
      <c r="C213" s="7"/>
      <c r="D213" s="21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22"/>
      <c r="B214" s="7"/>
      <c r="C214" s="7"/>
      <c r="D214" s="21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22"/>
      <c r="B215" s="7"/>
      <c r="C215" s="7"/>
      <c r="D215" s="21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22"/>
      <c r="B216" s="7"/>
      <c r="C216" s="7"/>
      <c r="D216" s="21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22"/>
      <c r="B217" s="7"/>
      <c r="C217" s="7"/>
      <c r="D217" s="21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22"/>
      <c r="B218" s="7"/>
      <c r="C218" s="7"/>
      <c r="D218" s="2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22"/>
      <c r="B219" s="7"/>
      <c r="C219" s="7"/>
      <c r="D219" s="21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22"/>
      <c r="B220" s="7"/>
      <c r="C220" s="7"/>
      <c r="D220" s="21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22"/>
      <c r="B221" s="7"/>
      <c r="C221" s="7"/>
      <c r="D221" s="2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22"/>
      <c r="B222" s="7"/>
      <c r="C222" s="7"/>
      <c r="D222" s="2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22"/>
      <c r="B223" s="7"/>
      <c r="C223" s="7"/>
      <c r="D223" s="2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22"/>
      <c r="B224" s="7"/>
      <c r="C224" s="7"/>
      <c r="D224" s="2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22"/>
      <c r="B225" s="7"/>
      <c r="C225" s="7"/>
      <c r="D225" s="2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22"/>
      <c r="B226" s="7"/>
      <c r="C226" s="7"/>
      <c r="D226" s="2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22"/>
      <c r="B227" s="7"/>
      <c r="C227" s="7"/>
      <c r="D227" s="2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22"/>
      <c r="B228" s="7"/>
      <c r="C228" s="7"/>
      <c r="D228" s="2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22"/>
      <c r="B229" s="7"/>
      <c r="C229" s="7"/>
      <c r="D229" s="2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22"/>
      <c r="B230" s="7"/>
      <c r="C230" s="7"/>
      <c r="D230" s="2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22"/>
      <c r="B231" s="7"/>
      <c r="C231" s="7"/>
      <c r="D231" s="2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22"/>
      <c r="B232" s="7"/>
      <c r="C232" s="7"/>
      <c r="D232" s="2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22"/>
      <c r="B233" s="7"/>
      <c r="C233" s="7"/>
      <c r="D233" s="2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22"/>
      <c r="B234" s="7"/>
      <c r="C234" s="7"/>
      <c r="D234" s="2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22"/>
      <c r="B235" s="7"/>
      <c r="C235" s="7"/>
      <c r="D235" s="2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22"/>
      <c r="B236" s="7"/>
      <c r="C236" s="7"/>
      <c r="D236" s="2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22"/>
      <c r="B237" s="7"/>
      <c r="C237" s="7"/>
      <c r="D237" s="2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22"/>
      <c r="B238" s="7"/>
      <c r="C238" s="7"/>
      <c r="D238" s="2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22"/>
      <c r="B239" s="7"/>
      <c r="C239" s="7"/>
      <c r="D239" s="2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22"/>
      <c r="B240" s="7"/>
      <c r="C240" s="7"/>
      <c r="D240" s="2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22"/>
      <c r="B241" s="7"/>
      <c r="C241" s="7"/>
      <c r="D241" s="2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22"/>
      <c r="B242" s="7"/>
      <c r="C242" s="7"/>
      <c r="D242" s="2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22"/>
      <c r="B243" s="7"/>
      <c r="C243" s="7"/>
      <c r="D243" s="2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22"/>
      <c r="B244" s="7"/>
      <c r="C244" s="7"/>
      <c r="D244" s="2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22"/>
      <c r="B245" s="7"/>
      <c r="C245" s="7"/>
      <c r="D245" s="2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22"/>
      <c r="B246" s="7"/>
      <c r="C246" s="7"/>
      <c r="D246" s="2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22"/>
      <c r="B247" s="7"/>
      <c r="C247" s="7"/>
      <c r="D247" s="2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22"/>
      <c r="B248" s="7"/>
      <c r="C248" s="7"/>
      <c r="D248" s="2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22"/>
      <c r="B249" s="7"/>
      <c r="C249" s="7"/>
      <c r="D249" s="2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22"/>
      <c r="B250" s="7"/>
      <c r="C250" s="7"/>
      <c r="D250" s="2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22"/>
      <c r="B251" s="7"/>
      <c r="C251" s="7"/>
      <c r="D251" s="2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22"/>
      <c r="B252" s="7"/>
      <c r="C252" s="7"/>
      <c r="D252" s="2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22"/>
      <c r="B253" s="7"/>
      <c r="C253" s="7"/>
      <c r="D253" s="2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22"/>
      <c r="B254" s="7"/>
      <c r="C254" s="7"/>
      <c r="D254" s="2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22"/>
      <c r="B255" s="7"/>
      <c r="C255" s="7"/>
      <c r="D255" s="2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22"/>
      <c r="B256" s="7"/>
      <c r="C256" s="7"/>
      <c r="D256" s="2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22"/>
      <c r="B257" s="7"/>
      <c r="C257" s="7"/>
      <c r="D257" s="2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22"/>
      <c r="B258" s="7"/>
      <c r="C258" s="7"/>
      <c r="D258" s="2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22"/>
      <c r="B259" s="7"/>
      <c r="C259" s="7"/>
      <c r="D259" s="2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22"/>
      <c r="B260" s="7"/>
      <c r="C260" s="7"/>
      <c r="D260" s="2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22"/>
      <c r="B261" s="7"/>
      <c r="C261" s="7"/>
      <c r="D261" s="2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22"/>
      <c r="B262" s="7"/>
      <c r="C262" s="7"/>
      <c r="D262" s="2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22"/>
      <c r="B263" s="7"/>
      <c r="C263" s="7"/>
      <c r="D263" s="2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22"/>
      <c r="B264" s="7"/>
      <c r="C264" s="7"/>
      <c r="D264" s="2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22"/>
      <c r="B265" s="7"/>
      <c r="C265" s="7"/>
      <c r="D265" s="2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22"/>
      <c r="B266" s="7"/>
      <c r="C266" s="7"/>
      <c r="D266" s="2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22"/>
      <c r="B267" s="7"/>
      <c r="C267" s="7"/>
      <c r="D267" s="2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22"/>
      <c r="B268" s="7"/>
      <c r="C268" s="7"/>
      <c r="D268" s="2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22"/>
      <c r="B269" s="7"/>
      <c r="C269" s="7"/>
      <c r="D269" s="2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22"/>
      <c r="B270" s="7"/>
      <c r="C270" s="7"/>
      <c r="D270" s="2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22"/>
      <c r="B271" s="7"/>
      <c r="C271" s="7"/>
      <c r="D271" s="2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22"/>
      <c r="B272" s="7"/>
      <c r="C272" s="7"/>
      <c r="D272" s="2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22"/>
      <c r="B273" s="7"/>
      <c r="C273" s="7"/>
      <c r="D273" s="2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22"/>
      <c r="B274" s="7"/>
      <c r="C274" s="7"/>
      <c r="D274" s="2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22"/>
      <c r="B275" s="7"/>
      <c r="C275" s="7"/>
      <c r="D275" s="2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22"/>
      <c r="B276" s="7"/>
      <c r="C276" s="7"/>
      <c r="D276" s="2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22"/>
      <c r="B277" s="7"/>
      <c r="C277" s="7"/>
      <c r="D277" s="2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22"/>
      <c r="B278" s="7"/>
      <c r="C278" s="7"/>
      <c r="D278" s="2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22"/>
      <c r="B279" s="7"/>
      <c r="C279" s="7"/>
      <c r="D279" s="2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22"/>
      <c r="B280" s="7"/>
      <c r="C280" s="7"/>
      <c r="D280" s="2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22"/>
      <c r="B281" s="7"/>
      <c r="C281" s="7"/>
      <c r="D281" s="2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22"/>
      <c r="B282" s="7"/>
      <c r="C282" s="7"/>
      <c r="D282" s="2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22"/>
      <c r="B283" s="7"/>
      <c r="C283" s="7"/>
      <c r="D283" s="2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22"/>
      <c r="B284" s="7"/>
      <c r="C284" s="7"/>
      <c r="D284" s="2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22"/>
      <c r="B285" s="7"/>
      <c r="C285" s="7"/>
      <c r="D285" s="2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22"/>
      <c r="B286" s="7"/>
      <c r="C286" s="7"/>
      <c r="D286" s="2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">
      <c r="A287" s="22"/>
      <c r="B287" s="7"/>
      <c r="C287" s="7"/>
      <c r="D287" s="2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">
      <c r="A288" s="22"/>
      <c r="B288" s="7"/>
      <c r="C288" s="7"/>
      <c r="D288" s="2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">
      <c r="A289" s="22"/>
      <c r="B289" s="7"/>
      <c r="C289" s="7"/>
      <c r="D289" s="2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">
      <c r="A290" s="22"/>
      <c r="B290" s="7"/>
      <c r="C290" s="7"/>
      <c r="D290" s="2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">
      <c r="A291" s="22"/>
      <c r="B291" s="7"/>
      <c r="C291" s="7"/>
      <c r="D291" s="2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">
      <c r="A292" s="22"/>
      <c r="B292" s="7"/>
      <c r="C292" s="7"/>
      <c r="D292" s="2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">
      <c r="A293" s="22"/>
      <c r="B293" s="7"/>
      <c r="C293" s="7"/>
      <c r="D293" s="2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">
      <c r="A294" s="22"/>
      <c r="B294" s="7"/>
      <c r="C294" s="7"/>
      <c r="D294" s="2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">
      <c r="A295" s="22"/>
      <c r="B295" s="7"/>
      <c r="C295" s="7"/>
      <c r="D295" s="2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">
      <c r="A296" s="22"/>
      <c r="B296" s="7"/>
      <c r="C296" s="7"/>
      <c r="D296" s="2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">
      <c r="A297" s="22"/>
      <c r="B297" s="7"/>
      <c r="C297" s="7"/>
      <c r="D297" s="2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">
      <c r="A298" s="22"/>
      <c r="B298" s="7"/>
      <c r="C298" s="7"/>
      <c r="D298" s="2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">
      <c r="A299" s="22"/>
      <c r="B299" s="7"/>
      <c r="C299" s="7"/>
      <c r="D299" s="2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">
      <c r="A300" s="22"/>
      <c r="B300" s="7"/>
      <c r="C300" s="7"/>
      <c r="D300" s="2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">
      <c r="A301" s="22"/>
      <c r="B301" s="7"/>
      <c r="C301" s="7"/>
      <c r="D301" s="2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">
      <c r="A302" s="22"/>
      <c r="B302" s="7"/>
      <c r="C302" s="7"/>
      <c r="D302" s="2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">
      <c r="A303" s="22"/>
      <c r="B303" s="7"/>
      <c r="C303" s="7"/>
      <c r="D303" s="2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">
      <c r="A304" s="22"/>
      <c r="B304" s="7"/>
      <c r="C304" s="7"/>
      <c r="D304" s="2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">
      <c r="A305" s="22"/>
      <c r="B305" s="7"/>
      <c r="C305" s="7"/>
      <c r="D305" s="2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F1" workbookViewId="0"/>
  </sheetViews>
  <sheetFormatPr baseColWidth="10" defaultColWidth="14.5" defaultRowHeight="15" customHeight="1" x14ac:dyDescent="0.2"/>
  <cols>
    <col min="1" max="2" width="11" customWidth="1"/>
    <col min="3" max="3" width="10.83203125" customWidth="1"/>
    <col min="4" max="4" width="18" customWidth="1"/>
    <col min="5" max="5" width="15.5" customWidth="1"/>
    <col min="6" max="6" width="14.1640625" customWidth="1"/>
    <col min="7" max="7" width="22.33203125" customWidth="1"/>
    <col min="8" max="8" width="15.5" customWidth="1"/>
    <col min="9" max="9" width="19.83203125" customWidth="1"/>
    <col min="10" max="10" width="11" customWidth="1"/>
    <col min="11" max="11" width="14.83203125" customWidth="1"/>
    <col min="12" max="12" width="11.1640625" customWidth="1"/>
    <col min="13" max="13" width="11" customWidth="1"/>
    <col min="14" max="14" width="12.1640625" customWidth="1"/>
    <col min="15" max="16" width="13" customWidth="1"/>
    <col min="17" max="17" width="10.6640625" customWidth="1"/>
    <col min="18" max="18" width="16" customWidth="1"/>
    <col min="19" max="20" width="10.83203125" customWidth="1"/>
    <col min="21" max="21" width="18" hidden="1" customWidth="1"/>
    <col min="22" max="22" width="18.1640625" hidden="1" customWidth="1"/>
    <col min="23" max="23" width="24.6640625" hidden="1" customWidth="1"/>
    <col min="24" max="24" width="12.1640625" customWidth="1"/>
    <col min="25" max="26" width="10.6640625" customWidth="1"/>
  </cols>
  <sheetData>
    <row r="1" spans="1:26" ht="48" x14ac:dyDescent="0.2">
      <c r="A1" s="34" t="s">
        <v>30</v>
      </c>
      <c r="B1" s="34" t="s">
        <v>31</v>
      </c>
      <c r="C1" s="34" t="s">
        <v>11</v>
      </c>
      <c r="D1" s="34" t="s">
        <v>32</v>
      </c>
      <c r="E1" s="34" t="s">
        <v>33</v>
      </c>
      <c r="F1" s="34" t="s">
        <v>34</v>
      </c>
      <c r="G1" s="34" t="s">
        <v>29</v>
      </c>
      <c r="H1" s="34" t="s">
        <v>14</v>
      </c>
      <c r="I1" s="34" t="s">
        <v>35</v>
      </c>
      <c r="J1" s="34" t="s">
        <v>36</v>
      </c>
      <c r="K1" s="34" t="s">
        <v>37</v>
      </c>
      <c r="L1" s="34" t="s">
        <v>38</v>
      </c>
      <c r="M1" s="34" t="s">
        <v>39</v>
      </c>
      <c r="N1" s="34" t="s">
        <v>40</v>
      </c>
      <c r="O1" s="34" t="s">
        <v>41</v>
      </c>
      <c r="P1" s="34" t="s">
        <v>42</v>
      </c>
      <c r="Q1" s="34" t="s">
        <v>43</v>
      </c>
      <c r="R1" s="34" t="s">
        <v>44</v>
      </c>
      <c r="S1" s="35"/>
      <c r="T1" s="35"/>
      <c r="U1" s="34" t="s">
        <v>45</v>
      </c>
      <c r="V1" s="34" t="s">
        <v>46</v>
      </c>
      <c r="W1" s="36" t="s">
        <v>47</v>
      </c>
      <c r="X1" s="35"/>
      <c r="Y1" s="35"/>
      <c r="Z1" s="35"/>
    </row>
    <row r="2" spans="1:26" ht="16" x14ac:dyDescent="0.2">
      <c r="A2" s="32">
        <v>41855</v>
      </c>
      <c r="B2" s="4">
        <v>1</v>
      </c>
      <c r="C2" s="4" t="s">
        <v>16</v>
      </c>
      <c r="D2" s="33">
        <v>4338</v>
      </c>
      <c r="E2" s="12">
        <f t="shared" ref="E2:E105" si="0">D2*1.1</f>
        <v>4771.8</v>
      </c>
      <c r="F2" s="10">
        <f t="shared" ref="F2:F105" si="1">2</f>
        <v>2</v>
      </c>
      <c r="G2" s="12">
        <f t="shared" ref="G2:G105" si="2">E2*F2</f>
        <v>9543.6</v>
      </c>
      <c r="H2" s="37" t="str">
        <f t="shared" ref="H2:H105" si="3">TEXT(A2,"yyyy-mm-dd")&amp;"-"&amp;B2&amp;"-"&amp;"A"</f>
        <v>2014-08-04-1-A</v>
      </c>
      <c r="I2" s="38">
        <f>VLOOKUP(H2,'Historical Shipments'!$D$2:$E$10000,2,FALSE)</f>
        <v>15550.8</v>
      </c>
      <c r="J2" s="10">
        <f t="shared" ref="J2:J105" si="4">I2*1.1</f>
        <v>17105.88</v>
      </c>
      <c r="K2" s="12">
        <f t="shared" ref="K2:K105" si="5">J2+G2</f>
        <v>26649.480000000003</v>
      </c>
      <c r="L2" s="39">
        <f t="array" ref="L2">INDEX('Carrier Rates'!$D$2:$D$1000, MATCH("X"&amp;"-"&amp;"A"&amp;"-"&amp;B2, 'Carrier Rates'!$E$2:$E$1000, 0))</f>
        <v>2540</v>
      </c>
      <c r="M2" s="13">
        <f t="array" ref="M2">INDEX('Carrier Rates'!$D$2:$D$1000, MATCH("Y"&amp;"-"&amp;"A"&amp;"-"&amp;B2, 'Carrier Rates'!$E$2:$E$1000, 0))</f>
        <v>0.12</v>
      </c>
      <c r="N2" s="11">
        <f t="shared" ref="N2:N105" si="6">L2</f>
        <v>2540</v>
      </c>
      <c r="O2" s="12">
        <f t="shared" ref="O2:O105" si="7">M2*K2</f>
        <v>3197.9376000000002</v>
      </c>
      <c r="P2" s="12">
        <f t="shared" ref="P2:P105" si="8">MIN(N2,O2)</f>
        <v>2540</v>
      </c>
      <c r="Q2" s="37">
        <f t="shared" ref="Q2:Q105" si="9">0.8</f>
        <v>0.8</v>
      </c>
      <c r="R2" s="12">
        <f t="shared" ref="R2:R105" si="10">E2*Q2</f>
        <v>3817.4400000000005</v>
      </c>
      <c r="S2" s="7"/>
      <c r="T2" s="7"/>
      <c r="U2" s="40">
        <f t="shared" ref="U2:U105" si="11">IF(J2 &lt; 44000, L2, "")</f>
        <v>2540</v>
      </c>
      <c r="V2" s="41">
        <f t="shared" ref="V2:V105" si="12">J2 * M2</f>
        <v>2052.7056000000002</v>
      </c>
      <c r="W2" s="42">
        <f t="shared" ref="W2:W105" si="13">MIN(U2,V2)</f>
        <v>2052.7056000000002</v>
      </c>
      <c r="X2" s="7"/>
      <c r="Y2" s="7"/>
      <c r="Z2" s="7"/>
    </row>
    <row r="3" spans="1:26" ht="16" x14ac:dyDescent="0.2">
      <c r="A3" s="32">
        <v>41855</v>
      </c>
      <c r="B3" s="4">
        <v>2</v>
      </c>
      <c r="C3" s="4" t="s">
        <v>16</v>
      </c>
      <c r="D3" s="33">
        <v>3600</v>
      </c>
      <c r="E3" s="12">
        <f t="shared" si="0"/>
        <v>3960.0000000000005</v>
      </c>
      <c r="F3" s="10">
        <f t="shared" si="1"/>
        <v>2</v>
      </c>
      <c r="G3" s="12">
        <f t="shared" si="2"/>
        <v>7920.0000000000009</v>
      </c>
      <c r="H3" s="37" t="str">
        <f t="shared" si="3"/>
        <v>2014-08-04-2-A</v>
      </c>
      <c r="I3" s="38">
        <f>VLOOKUP(H3,'Historical Shipments'!$D$2:$E$10000,2,FALSE)</f>
        <v>14127.6</v>
      </c>
      <c r="J3" s="10">
        <f t="shared" si="4"/>
        <v>15540.360000000002</v>
      </c>
      <c r="K3" s="12">
        <f t="shared" si="5"/>
        <v>23460.360000000004</v>
      </c>
      <c r="L3" s="39">
        <f t="array" ref="L3">INDEX('Carrier Rates'!$D$2:$D$1000, MATCH("X"&amp;"-"&amp;"A"&amp;"-"&amp;B3, 'Carrier Rates'!$E$2:$E$1000, 0))</f>
        <v>1640</v>
      </c>
      <c r="M3" s="13">
        <f t="array" ref="M3">INDEX('Carrier Rates'!$D$2:$D$1000, MATCH("Y"&amp;"-"&amp;"A"&amp;"-"&amp;B3, 'Carrier Rates'!$E$2:$E$1000, 0))</f>
        <v>7.0000000000000007E-2</v>
      </c>
      <c r="N3" s="11">
        <f t="shared" si="6"/>
        <v>1640</v>
      </c>
      <c r="O3" s="12">
        <f t="shared" si="7"/>
        <v>1642.2252000000005</v>
      </c>
      <c r="P3" s="12">
        <f t="shared" si="8"/>
        <v>1640</v>
      </c>
      <c r="Q3" s="37">
        <f t="shared" si="9"/>
        <v>0.8</v>
      </c>
      <c r="R3" s="12">
        <f t="shared" si="10"/>
        <v>3168.0000000000005</v>
      </c>
      <c r="S3" s="7"/>
      <c r="T3" s="7"/>
      <c r="U3" s="40">
        <f t="shared" si="11"/>
        <v>1640</v>
      </c>
      <c r="V3" s="43">
        <f t="shared" si="12"/>
        <v>1087.8252000000002</v>
      </c>
      <c r="W3" s="42">
        <f t="shared" si="13"/>
        <v>1087.8252000000002</v>
      </c>
      <c r="X3" s="7"/>
      <c r="Y3" s="7"/>
      <c r="Z3" s="7"/>
    </row>
    <row r="4" spans="1:26" ht="16" x14ac:dyDescent="0.2">
      <c r="A4" s="32">
        <v>41862</v>
      </c>
      <c r="B4" s="4">
        <v>1</v>
      </c>
      <c r="C4" s="4" t="s">
        <v>16</v>
      </c>
      <c r="D4" s="33">
        <v>4598</v>
      </c>
      <c r="E4" s="12">
        <f t="shared" si="0"/>
        <v>5057.8</v>
      </c>
      <c r="F4" s="10">
        <f t="shared" si="1"/>
        <v>2</v>
      </c>
      <c r="G4" s="12">
        <f t="shared" si="2"/>
        <v>10115.6</v>
      </c>
      <c r="H4" s="37" t="str">
        <f t="shared" si="3"/>
        <v>2014-08-11-1-A</v>
      </c>
      <c r="I4" s="38">
        <f>VLOOKUP(H4,'Historical Shipments'!$D$2:$E$10000,2,FALSE)</f>
        <v>16671.2</v>
      </c>
      <c r="J4" s="10">
        <f t="shared" si="4"/>
        <v>18338.320000000003</v>
      </c>
      <c r="K4" s="12">
        <f t="shared" si="5"/>
        <v>28453.920000000006</v>
      </c>
      <c r="L4" s="39">
        <f t="array" ref="L4">INDEX('Carrier Rates'!$D$2:$D$1000, MATCH("X"&amp;"-"&amp;"A"&amp;"-"&amp;B4, 'Carrier Rates'!$E$2:$E$1000, 0))</f>
        <v>2540</v>
      </c>
      <c r="M4" s="13">
        <f t="array" ref="M4">INDEX('Carrier Rates'!$D$2:$D$1000, MATCH("Y"&amp;"-"&amp;"A"&amp;"-"&amp;B4, 'Carrier Rates'!$E$2:$E$1000, 0))</f>
        <v>0.12</v>
      </c>
      <c r="N4" s="11">
        <f t="shared" si="6"/>
        <v>2540</v>
      </c>
      <c r="O4" s="12">
        <f t="shared" si="7"/>
        <v>3414.4704000000006</v>
      </c>
      <c r="P4" s="12">
        <f t="shared" si="8"/>
        <v>2540</v>
      </c>
      <c r="Q4" s="37">
        <f t="shared" si="9"/>
        <v>0.8</v>
      </c>
      <c r="R4" s="12">
        <f t="shared" si="10"/>
        <v>4046.2400000000002</v>
      </c>
      <c r="S4" s="7"/>
      <c r="T4" s="7"/>
      <c r="U4" s="40">
        <f t="shared" si="11"/>
        <v>2540</v>
      </c>
      <c r="V4" s="43">
        <f t="shared" si="12"/>
        <v>2200.5984000000003</v>
      </c>
      <c r="W4" s="42">
        <f t="shared" si="13"/>
        <v>2200.5984000000003</v>
      </c>
      <c r="X4" s="7"/>
      <c r="Y4" s="7"/>
      <c r="Z4" s="7"/>
    </row>
    <row r="5" spans="1:26" ht="16" x14ac:dyDescent="0.2">
      <c r="A5" s="32">
        <v>41862</v>
      </c>
      <c r="B5" s="4">
        <v>2</v>
      </c>
      <c r="C5" s="4" t="s">
        <v>16</v>
      </c>
      <c r="D5" s="33">
        <v>3234</v>
      </c>
      <c r="E5" s="12">
        <f t="shared" si="0"/>
        <v>3557.4</v>
      </c>
      <c r="F5" s="10">
        <f t="shared" si="1"/>
        <v>2</v>
      </c>
      <c r="G5" s="12">
        <f t="shared" si="2"/>
        <v>7114.8</v>
      </c>
      <c r="H5" s="37" t="str">
        <f t="shared" si="3"/>
        <v>2014-08-11-2-A</v>
      </c>
      <c r="I5" s="38">
        <f>VLOOKUP(H5,'Historical Shipments'!$D$2:$E$10000,2,FALSE)</f>
        <v>13172.4</v>
      </c>
      <c r="J5" s="10">
        <f t="shared" si="4"/>
        <v>14489.640000000001</v>
      </c>
      <c r="K5" s="12">
        <f t="shared" si="5"/>
        <v>21604.440000000002</v>
      </c>
      <c r="L5" s="39">
        <f t="array" ref="L5">INDEX('Carrier Rates'!$D$2:$D$1000, MATCH("X"&amp;"-"&amp;"A"&amp;"-"&amp;B5, 'Carrier Rates'!$E$2:$E$1000, 0))</f>
        <v>1640</v>
      </c>
      <c r="M5" s="13">
        <f t="array" ref="M5">INDEX('Carrier Rates'!$D$2:$D$1000, MATCH("Y"&amp;"-"&amp;"A"&amp;"-"&amp;B5, 'Carrier Rates'!$E$2:$E$1000, 0))</f>
        <v>7.0000000000000007E-2</v>
      </c>
      <c r="N5" s="11">
        <f t="shared" si="6"/>
        <v>1640</v>
      </c>
      <c r="O5" s="12">
        <f t="shared" si="7"/>
        <v>1512.3108000000002</v>
      </c>
      <c r="P5" s="12">
        <f t="shared" si="8"/>
        <v>1512.3108000000002</v>
      </c>
      <c r="Q5" s="37">
        <f t="shared" si="9"/>
        <v>0.8</v>
      </c>
      <c r="R5" s="12">
        <f t="shared" si="10"/>
        <v>2845.92</v>
      </c>
      <c r="S5" s="7"/>
      <c r="T5" s="7"/>
      <c r="U5" s="40">
        <f t="shared" si="11"/>
        <v>1640</v>
      </c>
      <c r="V5" s="43">
        <f t="shared" si="12"/>
        <v>1014.2748000000001</v>
      </c>
      <c r="W5" s="42">
        <f t="shared" si="13"/>
        <v>1014.2748000000001</v>
      </c>
      <c r="X5" s="7"/>
      <c r="Y5" s="7"/>
      <c r="Z5" s="7"/>
    </row>
    <row r="6" spans="1:26" ht="16" x14ac:dyDescent="0.2">
      <c r="A6" s="32">
        <v>41869</v>
      </c>
      <c r="B6" s="4">
        <v>1</v>
      </c>
      <c r="C6" s="4" t="s">
        <v>16</v>
      </c>
      <c r="D6" s="33">
        <v>4268</v>
      </c>
      <c r="E6" s="12">
        <f t="shared" si="0"/>
        <v>4694.8</v>
      </c>
      <c r="F6" s="10">
        <f t="shared" si="1"/>
        <v>2</v>
      </c>
      <c r="G6" s="12">
        <f t="shared" si="2"/>
        <v>9389.6</v>
      </c>
      <c r="H6" s="37" t="str">
        <f t="shared" si="3"/>
        <v>2014-08-18-1-A</v>
      </c>
      <c r="I6" s="38">
        <f>VLOOKUP(H6,'Historical Shipments'!$D$2:$E$10000,2,FALSE)</f>
        <v>15800</v>
      </c>
      <c r="J6" s="10">
        <f t="shared" si="4"/>
        <v>17380</v>
      </c>
      <c r="K6" s="12">
        <f t="shared" si="5"/>
        <v>26769.599999999999</v>
      </c>
      <c r="L6" s="39">
        <f t="array" ref="L6">INDEX('Carrier Rates'!$D$2:$D$1000, MATCH("X"&amp;"-"&amp;"A"&amp;"-"&amp;B6, 'Carrier Rates'!$E$2:$E$1000, 0))</f>
        <v>2540</v>
      </c>
      <c r="M6" s="13">
        <f t="array" ref="M6">INDEX('Carrier Rates'!$D$2:$D$1000, MATCH("Y"&amp;"-"&amp;"A"&amp;"-"&amp;B6, 'Carrier Rates'!$E$2:$E$1000, 0))</f>
        <v>0.12</v>
      </c>
      <c r="N6" s="11">
        <f t="shared" si="6"/>
        <v>2540</v>
      </c>
      <c r="O6" s="12">
        <f t="shared" si="7"/>
        <v>3212.3519999999999</v>
      </c>
      <c r="P6" s="12">
        <f t="shared" si="8"/>
        <v>2540</v>
      </c>
      <c r="Q6" s="37">
        <f t="shared" si="9"/>
        <v>0.8</v>
      </c>
      <c r="R6" s="12">
        <f t="shared" si="10"/>
        <v>3755.84</v>
      </c>
      <c r="S6" s="7"/>
      <c r="T6" s="7"/>
      <c r="U6" s="40">
        <f t="shared" si="11"/>
        <v>2540</v>
      </c>
      <c r="V6" s="43">
        <f t="shared" si="12"/>
        <v>2085.6</v>
      </c>
      <c r="W6" s="42">
        <f t="shared" si="13"/>
        <v>2085.6</v>
      </c>
      <c r="X6" s="7"/>
      <c r="Y6" s="7"/>
      <c r="Z6" s="7"/>
    </row>
    <row r="7" spans="1:26" ht="16" x14ac:dyDescent="0.2">
      <c r="A7" s="32">
        <v>41869</v>
      </c>
      <c r="B7" s="4">
        <v>2</v>
      </c>
      <c r="C7" s="4" t="s">
        <v>16</v>
      </c>
      <c r="D7" s="33">
        <v>2623</v>
      </c>
      <c r="E7" s="12">
        <f t="shared" si="0"/>
        <v>2885.3</v>
      </c>
      <c r="F7" s="10">
        <f t="shared" si="1"/>
        <v>2</v>
      </c>
      <c r="G7" s="12">
        <f t="shared" si="2"/>
        <v>5770.6</v>
      </c>
      <c r="H7" s="37" t="str">
        <f t="shared" si="3"/>
        <v>2014-08-18-2-A</v>
      </c>
      <c r="I7" s="38">
        <f>VLOOKUP(H7,'Historical Shipments'!$D$2:$E$10000,2,FALSE)</f>
        <v>11660.2</v>
      </c>
      <c r="J7" s="10">
        <f t="shared" si="4"/>
        <v>12826.220000000001</v>
      </c>
      <c r="K7" s="12">
        <f t="shared" si="5"/>
        <v>18596.82</v>
      </c>
      <c r="L7" s="39">
        <f t="array" ref="L7">INDEX('Carrier Rates'!$D$2:$D$1000, MATCH("X"&amp;"-"&amp;"A"&amp;"-"&amp;B7, 'Carrier Rates'!$E$2:$E$1000, 0))</f>
        <v>1640</v>
      </c>
      <c r="M7" s="13">
        <f t="array" ref="M7">INDEX('Carrier Rates'!$D$2:$D$1000, MATCH("Y"&amp;"-"&amp;"A"&amp;"-"&amp;B7, 'Carrier Rates'!$E$2:$E$1000, 0))</f>
        <v>7.0000000000000007E-2</v>
      </c>
      <c r="N7" s="11">
        <f t="shared" si="6"/>
        <v>1640</v>
      </c>
      <c r="O7" s="12">
        <f t="shared" si="7"/>
        <v>1301.7774000000002</v>
      </c>
      <c r="P7" s="12">
        <f t="shared" si="8"/>
        <v>1301.7774000000002</v>
      </c>
      <c r="Q7" s="37">
        <f t="shared" si="9"/>
        <v>0.8</v>
      </c>
      <c r="R7" s="12">
        <f t="shared" si="10"/>
        <v>2308.2400000000002</v>
      </c>
      <c r="S7" s="7"/>
      <c r="T7" s="7"/>
      <c r="U7" s="40">
        <f t="shared" si="11"/>
        <v>1640</v>
      </c>
      <c r="V7" s="43">
        <f t="shared" si="12"/>
        <v>897.83540000000016</v>
      </c>
      <c r="W7" s="42">
        <f t="shared" si="13"/>
        <v>897.83540000000016</v>
      </c>
      <c r="X7" s="7"/>
      <c r="Y7" s="7"/>
      <c r="Z7" s="7"/>
    </row>
    <row r="8" spans="1:26" ht="16" x14ac:dyDescent="0.2">
      <c r="A8" s="32">
        <v>41876</v>
      </c>
      <c r="B8" s="4">
        <v>1</v>
      </c>
      <c r="C8" s="4" t="s">
        <v>16</v>
      </c>
      <c r="D8" s="33">
        <v>3453</v>
      </c>
      <c r="E8" s="12">
        <f t="shared" si="0"/>
        <v>3798.3</v>
      </c>
      <c r="F8" s="10">
        <f t="shared" si="1"/>
        <v>2</v>
      </c>
      <c r="G8" s="12">
        <f t="shared" si="2"/>
        <v>7596.6</v>
      </c>
      <c r="H8" s="37" t="str">
        <f t="shared" si="3"/>
        <v>2014-08-25-1-A</v>
      </c>
      <c r="I8" s="38">
        <f>VLOOKUP(H8,'Historical Shipments'!$D$2:$E$10000,2,FALSE)</f>
        <v>14934.6</v>
      </c>
      <c r="J8" s="10">
        <f t="shared" si="4"/>
        <v>16428.060000000001</v>
      </c>
      <c r="K8" s="12">
        <f t="shared" si="5"/>
        <v>24024.660000000003</v>
      </c>
      <c r="L8" s="39">
        <f t="array" ref="L8">INDEX('Carrier Rates'!$D$2:$D$1000, MATCH("X"&amp;"-"&amp;"A"&amp;"-"&amp;B8, 'Carrier Rates'!$E$2:$E$1000, 0))</f>
        <v>2540</v>
      </c>
      <c r="M8" s="13">
        <f t="array" ref="M8">INDEX('Carrier Rates'!$D$2:$D$1000, MATCH("Y"&amp;"-"&amp;"A"&amp;"-"&amp;B8, 'Carrier Rates'!$E$2:$E$1000, 0))</f>
        <v>0.12</v>
      </c>
      <c r="N8" s="11">
        <f t="shared" si="6"/>
        <v>2540</v>
      </c>
      <c r="O8" s="12">
        <f t="shared" si="7"/>
        <v>2882.9592000000002</v>
      </c>
      <c r="P8" s="12">
        <f t="shared" si="8"/>
        <v>2540</v>
      </c>
      <c r="Q8" s="37">
        <f t="shared" si="9"/>
        <v>0.8</v>
      </c>
      <c r="R8" s="12">
        <f t="shared" si="10"/>
        <v>3038.6400000000003</v>
      </c>
      <c r="S8" s="7"/>
      <c r="T8" s="7"/>
      <c r="U8" s="40">
        <f t="shared" si="11"/>
        <v>2540</v>
      </c>
      <c r="V8" s="43">
        <f t="shared" si="12"/>
        <v>1971.3672000000001</v>
      </c>
      <c r="W8" s="42">
        <f t="shared" si="13"/>
        <v>1971.3672000000001</v>
      </c>
      <c r="X8" s="7"/>
      <c r="Y8" s="7"/>
      <c r="Z8" s="7"/>
    </row>
    <row r="9" spans="1:26" ht="16" x14ac:dyDescent="0.2">
      <c r="A9" s="32">
        <v>41876</v>
      </c>
      <c r="B9" s="4">
        <v>2</v>
      </c>
      <c r="C9" s="4" t="s">
        <v>16</v>
      </c>
      <c r="D9" s="33">
        <v>1902</v>
      </c>
      <c r="E9" s="12">
        <f t="shared" si="0"/>
        <v>2092.2000000000003</v>
      </c>
      <c r="F9" s="10">
        <f t="shared" si="1"/>
        <v>2</v>
      </c>
      <c r="G9" s="12">
        <f t="shared" si="2"/>
        <v>4184.4000000000005</v>
      </c>
      <c r="H9" s="37" t="str">
        <f t="shared" si="3"/>
        <v>2014-08-25-2-A</v>
      </c>
      <c r="I9" s="38">
        <f>VLOOKUP(H9,'Historical Shipments'!$D$2:$E$10000,2,FALSE)</f>
        <v>11269.2</v>
      </c>
      <c r="J9" s="10">
        <f t="shared" si="4"/>
        <v>12396.120000000003</v>
      </c>
      <c r="K9" s="12">
        <f t="shared" si="5"/>
        <v>16580.520000000004</v>
      </c>
      <c r="L9" s="39">
        <f t="array" ref="L9">INDEX('Carrier Rates'!$D$2:$D$1000, MATCH("X"&amp;"-"&amp;"A"&amp;"-"&amp;B9, 'Carrier Rates'!$E$2:$E$1000, 0))</f>
        <v>1640</v>
      </c>
      <c r="M9" s="13">
        <f t="array" ref="M9">INDEX('Carrier Rates'!$D$2:$D$1000, MATCH("Y"&amp;"-"&amp;"A"&amp;"-"&amp;B9, 'Carrier Rates'!$E$2:$E$1000, 0))</f>
        <v>7.0000000000000007E-2</v>
      </c>
      <c r="N9" s="11">
        <f t="shared" si="6"/>
        <v>1640</v>
      </c>
      <c r="O9" s="12">
        <f t="shared" si="7"/>
        <v>1160.6364000000003</v>
      </c>
      <c r="P9" s="12">
        <f t="shared" si="8"/>
        <v>1160.6364000000003</v>
      </c>
      <c r="Q9" s="37">
        <f t="shared" si="9"/>
        <v>0.8</v>
      </c>
      <c r="R9" s="12">
        <f t="shared" si="10"/>
        <v>1673.7600000000002</v>
      </c>
      <c r="S9" s="7"/>
      <c r="T9" s="7"/>
      <c r="U9" s="40">
        <f t="shared" si="11"/>
        <v>1640</v>
      </c>
      <c r="V9" s="43">
        <f t="shared" si="12"/>
        <v>867.72840000000031</v>
      </c>
      <c r="W9" s="42">
        <f t="shared" si="13"/>
        <v>867.72840000000031</v>
      </c>
      <c r="X9" s="7"/>
      <c r="Y9" s="7"/>
      <c r="Z9" s="7"/>
    </row>
    <row r="10" spans="1:26" ht="16" x14ac:dyDescent="0.2">
      <c r="A10" s="32">
        <v>41883</v>
      </c>
      <c r="B10" s="4">
        <v>1</v>
      </c>
      <c r="C10" s="4" t="s">
        <v>16</v>
      </c>
      <c r="D10" s="33">
        <v>3530</v>
      </c>
      <c r="E10" s="12">
        <f t="shared" si="0"/>
        <v>3883.0000000000005</v>
      </c>
      <c r="F10" s="10">
        <f t="shared" si="1"/>
        <v>2</v>
      </c>
      <c r="G10" s="12">
        <f t="shared" si="2"/>
        <v>7766.0000000000009</v>
      </c>
      <c r="H10" s="37" t="str">
        <f t="shared" si="3"/>
        <v>2014-09-01-1-A</v>
      </c>
      <c r="I10" s="38">
        <f>VLOOKUP(H10,'Historical Shipments'!$D$2:$E$10000,2,FALSE)</f>
        <v>15082.4</v>
      </c>
      <c r="J10" s="10">
        <f t="shared" si="4"/>
        <v>16590.64</v>
      </c>
      <c r="K10" s="12">
        <f t="shared" si="5"/>
        <v>24356.639999999999</v>
      </c>
      <c r="L10" s="39">
        <f t="array" ref="L10">INDEX('Carrier Rates'!$D$2:$D$1000, MATCH("X"&amp;"-"&amp;"A"&amp;"-"&amp;B10, 'Carrier Rates'!$E$2:$E$1000, 0))</f>
        <v>2540</v>
      </c>
      <c r="M10" s="13">
        <f t="array" ref="M10">INDEX('Carrier Rates'!$D$2:$D$1000, MATCH("Y"&amp;"-"&amp;"A"&amp;"-"&amp;B10, 'Carrier Rates'!$E$2:$E$1000, 0))</f>
        <v>0.12</v>
      </c>
      <c r="N10" s="11">
        <f t="shared" si="6"/>
        <v>2540</v>
      </c>
      <c r="O10" s="12">
        <f t="shared" si="7"/>
        <v>2922.7967999999996</v>
      </c>
      <c r="P10" s="12">
        <f t="shared" si="8"/>
        <v>2540</v>
      </c>
      <c r="Q10" s="37">
        <f t="shared" si="9"/>
        <v>0.8</v>
      </c>
      <c r="R10" s="12">
        <f t="shared" si="10"/>
        <v>3106.4000000000005</v>
      </c>
      <c r="S10" s="7"/>
      <c r="T10" s="7"/>
      <c r="U10" s="40">
        <f t="shared" si="11"/>
        <v>2540</v>
      </c>
      <c r="V10" s="43">
        <f t="shared" si="12"/>
        <v>1990.8767999999998</v>
      </c>
      <c r="W10" s="42">
        <f t="shared" si="13"/>
        <v>1990.8767999999998</v>
      </c>
      <c r="X10" s="7"/>
      <c r="Y10" s="7"/>
      <c r="Z10" s="7"/>
    </row>
    <row r="11" spans="1:26" ht="16" x14ac:dyDescent="0.2">
      <c r="A11" s="32">
        <v>41883</v>
      </c>
      <c r="B11" s="4">
        <v>2</v>
      </c>
      <c r="C11" s="4" t="s">
        <v>16</v>
      </c>
      <c r="D11" s="33">
        <v>2567</v>
      </c>
      <c r="E11" s="12">
        <f t="shared" si="0"/>
        <v>2823.7000000000003</v>
      </c>
      <c r="F11" s="10">
        <f t="shared" si="1"/>
        <v>2</v>
      </c>
      <c r="G11" s="12">
        <f t="shared" si="2"/>
        <v>5647.4000000000005</v>
      </c>
      <c r="H11" s="37" t="str">
        <f t="shared" si="3"/>
        <v>2014-09-01-2-A</v>
      </c>
      <c r="I11" s="38">
        <f>VLOOKUP(H11,'Historical Shipments'!$D$2:$E$10000,2,FALSE)</f>
        <v>14437.400000000001</v>
      </c>
      <c r="J11" s="10">
        <f t="shared" si="4"/>
        <v>15881.140000000003</v>
      </c>
      <c r="K11" s="12">
        <f t="shared" si="5"/>
        <v>21528.540000000005</v>
      </c>
      <c r="L11" s="39">
        <f t="array" ref="L11">INDEX('Carrier Rates'!$D$2:$D$1000, MATCH("X"&amp;"-"&amp;"A"&amp;"-"&amp;B11, 'Carrier Rates'!$E$2:$E$1000, 0))</f>
        <v>1640</v>
      </c>
      <c r="M11" s="13">
        <f t="array" ref="M11">INDEX('Carrier Rates'!$D$2:$D$1000, MATCH("Y"&amp;"-"&amp;"A"&amp;"-"&amp;B11, 'Carrier Rates'!$E$2:$E$1000, 0))</f>
        <v>7.0000000000000007E-2</v>
      </c>
      <c r="N11" s="11">
        <f t="shared" si="6"/>
        <v>1640</v>
      </c>
      <c r="O11" s="12">
        <f t="shared" si="7"/>
        <v>1506.9978000000006</v>
      </c>
      <c r="P11" s="12">
        <f t="shared" si="8"/>
        <v>1506.9978000000006</v>
      </c>
      <c r="Q11" s="37">
        <f t="shared" si="9"/>
        <v>0.8</v>
      </c>
      <c r="R11" s="12">
        <f t="shared" si="10"/>
        <v>2258.9600000000005</v>
      </c>
      <c r="S11" s="7"/>
      <c r="T11" s="7"/>
      <c r="U11" s="40">
        <f t="shared" si="11"/>
        <v>1640</v>
      </c>
      <c r="V11" s="43">
        <f t="shared" si="12"/>
        <v>1111.6798000000003</v>
      </c>
      <c r="W11" s="42">
        <f t="shared" si="13"/>
        <v>1111.6798000000003</v>
      </c>
      <c r="X11" s="7"/>
      <c r="Y11" s="7"/>
      <c r="Z11" s="7"/>
    </row>
    <row r="12" spans="1:26" ht="16" x14ac:dyDescent="0.2">
      <c r="A12" s="32">
        <v>41890</v>
      </c>
      <c r="B12" s="4">
        <v>1</v>
      </c>
      <c r="C12" s="4" t="s">
        <v>16</v>
      </c>
      <c r="D12" s="33">
        <v>3288</v>
      </c>
      <c r="E12" s="12">
        <f t="shared" si="0"/>
        <v>3616.8</v>
      </c>
      <c r="F12" s="10">
        <f t="shared" si="1"/>
        <v>2</v>
      </c>
      <c r="G12" s="12">
        <f t="shared" si="2"/>
        <v>7233.6</v>
      </c>
      <c r="H12" s="37" t="str">
        <f t="shared" si="3"/>
        <v>2014-09-08-1-A</v>
      </c>
      <c r="I12" s="38">
        <f>VLOOKUP(H12,'Historical Shipments'!$D$2:$E$10000,2,FALSE)</f>
        <v>13352.400000000001</v>
      </c>
      <c r="J12" s="10">
        <f t="shared" si="4"/>
        <v>14687.640000000003</v>
      </c>
      <c r="K12" s="12">
        <f t="shared" si="5"/>
        <v>21921.240000000005</v>
      </c>
      <c r="L12" s="39">
        <f t="array" ref="L12">INDEX('Carrier Rates'!$D$2:$D$1000, MATCH("X"&amp;"-"&amp;"A"&amp;"-"&amp;B12, 'Carrier Rates'!$E$2:$E$1000, 0))</f>
        <v>2540</v>
      </c>
      <c r="M12" s="13">
        <f t="array" ref="M12">INDEX('Carrier Rates'!$D$2:$D$1000, MATCH("Y"&amp;"-"&amp;"A"&amp;"-"&amp;B12, 'Carrier Rates'!$E$2:$E$1000, 0))</f>
        <v>0.12</v>
      </c>
      <c r="N12" s="11">
        <f t="shared" si="6"/>
        <v>2540</v>
      </c>
      <c r="O12" s="12">
        <f t="shared" si="7"/>
        <v>2630.5488000000005</v>
      </c>
      <c r="P12" s="12">
        <f t="shared" si="8"/>
        <v>2540</v>
      </c>
      <c r="Q12" s="37">
        <f t="shared" si="9"/>
        <v>0.8</v>
      </c>
      <c r="R12" s="12">
        <f t="shared" si="10"/>
        <v>2893.4400000000005</v>
      </c>
      <c r="S12" s="7"/>
      <c r="T12" s="7"/>
      <c r="U12" s="40">
        <f t="shared" si="11"/>
        <v>2540</v>
      </c>
      <c r="V12" s="43">
        <f t="shared" si="12"/>
        <v>1762.5168000000003</v>
      </c>
      <c r="W12" s="42">
        <f t="shared" si="13"/>
        <v>1762.5168000000003</v>
      </c>
      <c r="X12" s="7"/>
      <c r="Y12" s="7"/>
      <c r="Z12" s="7"/>
    </row>
    <row r="13" spans="1:26" ht="16" x14ac:dyDescent="0.2">
      <c r="A13" s="32">
        <v>41890</v>
      </c>
      <c r="B13" s="4">
        <v>2</v>
      </c>
      <c r="C13" s="4" t="s">
        <v>16</v>
      </c>
      <c r="D13" s="33">
        <v>2056</v>
      </c>
      <c r="E13" s="12">
        <f t="shared" si="0"/>
        <v>2261.6000000000004</v>
      </c>
      <c r="F13" s="10">
        <f t="shared" si="1"/>
        <v>2</v>
      </c>
      <c r="G13" s="12">
        <f t="shared" si="2"/>
        <v>4523.2000000000007</v>
      </c>
      <c r="H13" s="37" t="str">
        <f t="shared" si="3"/>
        <v>2014-09-08-2-A</v>
      </c>
      <c r="I13" s="38">
        <f>VLOOKUP(H13,'Historical Shipments'!$D$2:$E$10000,2,FALSE)</f>
        <v>11696.8</v>
      </c>
      <c r="J13" s="10">
        <f t="shared" si="4"/>
        <v>12866.48</v>
      </c>
      <c r="K13" s="12">
        <f t="shared" si="5"/>
        <v>17389.68</v>
      </c>
      <c r="L13" s="39">
        <f t="array" ref="L13">INDEX('Carrier Rates'!$D$2:$D$1000, MATCH("X"&amp;"-"&amp;"A"&amp;"-"&amp;B13, 'Carrier Rates'!$E$2:$E$1000, 0))</f>
        <v>1640</v>
      </c>
      <c r="M13" s="13">
        <f t="array" ref="M13">INDEX('Carrier Rates'!$D$2:$D$1000, MATCH("Y"&amp;"-"&amp;"A"&amp;"-"&amp;B13, 'Carrier Rates'!$E$2:$E$1000, 0))</f>
        <v>7.0000000000000007E-2</v>
      </c>
      <c r="N13" s="11">
        <f t="shared" si="6"/>
        <v>1640</v>
      </c>
      <c r="O13" s="12">
        <f t="shared" si="7"/>
        <v>1217.2776000000001</v>
      </c>
      <c r="P13" s="12">
        <f t="shared" si="8"/>
        <v>1217.2776000000001</v>
      </c>
      <c r="Q13" s="37">
        <f t="shared" si="9"/>
        <v>0.8</v>
      </c>
      <c r="R13" s="12">
        <f t="shared" si="10"/>
        <v>1809.2800000000004</v>
      </c>
      <c r="S13" s="7"/>
      <c r="T13" s="7"/>
      <c r="U13" s="40">
        <f t="shared" si="11"/>
        <v>1640</v>
      </c>
      <c r="V13" s="43">
        <f t="shared" si="12"/>
        <v>900.6536000000001</v>
      </c>
      <c r="W13" s="42">
        <f t="shared" si="13"/>
        <v>900.6536000000001</v>
      </c>
      <c r="X13" s="7"/>
      <c r="Y13" s="7"/>
      <c r="Z13" s="7"/>
    </row>
    <row r="14" spans="1:26" ht="16" x14ac:dyDescent="0.2">
      <c r="A14" s="32">
        <v>41897</v>
      </c>
      <c r="B14" s="4">
        <v>1</v>
      </c>
      <c r="C14" s="4" t="s">
        <v>16</v>
      </c>
      <c r="D14" s="33">
        <v>3999</v>
      </c>
      <c r="E14" s="12">
        <f t="shared" si="0"/>
        <v>4398.9000000000005</v>
      </c>
      <c r="F14" s="10">
        <f t="shared" si="1"/>
        <v>2</v>
      </c>
      <c r="G14" s="12">
        <f t="shared" si="2"/>
        <v>8797.8000000000011</v>
      </c>
      <c r="H14" s="37" t="str">
        <f t="shared" si="3"/>
        <v>2014-09-15-1-A</v>
      </c>
      <c r="I14" s="38">
        <f>VLOOKUP(H14,'Historical Shipments'!$D$2:$E$10000,2,FALSE)</f>
        <v>15394.2</v>
      </c>
      <c r="J14" s="10">
        <f t="shared" si="4"/>
        <v>16933.620000000003</v>
      </c>
      <c r="K14" s="12">
        <f t="shared" si="5"/>
        <v>25731.420000000006</v>
      </c>
      <c r="L14" s="39">
        <f t="array" ref="L14">INDEX('Carrier Rates'!$D$2:$D$1000, MATCH("X"&amp;"-"&amp;"A"&amp;"-"&amp;B14, 'Carrier Rates'!$E$2:$E$1000, 0))</f>
        <v>2540</v>
      </c>
      <c r="M14" s="13">
        <f t="array" ref="M14">INDEX('Carrier Rates'!$D$2:$D$1000, MATCH("Y"&amp;"-"&amp;"A"&amp;"-"&amp;B14, 'Carrier Rates'!$E$2:$E$1000, 0))</f>
        <v>0.12</v>
      </c>
      <c r="N14" s="11">
        <f t="shared" si="6"/>
        <v>2540</v>
      </c>
      <c r="O14" s="12">
        <f t="shared" si="7"/>
        <v>3087.7704000000003</v>
      </c>
      <c r="P14" s="12">
        <f t="shared" si="8"/>
        <v>2540</v>
      </c>
      <c r="Q14" s="37">
        <f t="shared" si="9"/>
        <v>0.8</v>
      </c>
      <c r="R14" s="12">
        <f t="shared" si="10"/>
        <v>3519.1200000000008</v>
      </c>
      <c r="S14" s="7"/>
      <c r="T14" s="7"/>
      <c r="U14" s="40">
        <f t="shared" si="11"/>
        <v>2540</v>
      </c>
      <c r="V14" s="43">
        <f t="shared" si="12"/>
        <v>2032.0344000000002</v>
      </c>
      <c r="W14" s="42">
        <f t="shared" si="13"/>
        <v>2032.0344000000002</v>
      </c>
      <c r="X14" s="7"/>
      <c r="Y14" s="7"/>
      <c r="Z14" s="7"/>
    </row>
    <row r="15" spans="1:26" ht="16" x14ac:dyDescent="0.2">
      <c r="A15" s="32">
        <v>41897</v>
      </c>
      <c r="B15" s="4">
        <v>2</v>
      </c>
      <c r="C15" s="4" t="s">
        <v>16</v>
      </c>
      <c r="D15" s="33">
        <v>3295</v>
      </c>
      <c r="E15" s="12">
        <f t="shared" si="0"/>
        <v>3624.5000000000005</v>
      </c>
      <c r="F15" s="10">
        <f t="shared" si="1"/>
        <v>2</v>
      </c>
      <c r="G15" s="12">
        <f t="shared" si="2"/>
        <v>7249.0000000000009</v>
      </c>
      <c r="H15" s="37" t="str">
        <f t="shared" si="3"/>
        <v>2014-09-15-2-A</v>
      </c>
      <c r="I15" s="38">
        <f>VLOOKUP(H15,'Historical Shipments'!$D$2:$E$10000,2,FALSE)</f>
        <v>15032.2</v>
      </c>
      <c r="J15" s="10">
        <f t="shared" si="4"/>
        <v>16535.420000000002</v>
      </c>
      <c r="K15" s="12">
        <f t="shared" si="5"/>
        <v>23784.420000000002</v>
      </c>
      <c r="L15" s="39">
        <f t="array" ref="L15">INDEX('Carrier Rates'!$D$2:$D$1000, MATCH("X"&amp;"-"&amp;"A"&amp;"-"&amp;B15, 'Carrier Rates'!$E$2:$E$1000, 0))</f>
        <v>1640</v>
      </c>
      <c r="M15" s="13">
        <f t="array" ref="M15">INDEX('Carrier Rates'!$D$2:$D$1000, MATCH("Y"&amp;"-"&amp;"A"&amp;"-"&amp;B15, 'Carrier Rates'!$E$2:$E$1000, 0))</f>
        <v>7.0000000000000007E-2</v>
      </c>
      <c r="N15" s="11">
        <f t="shared" si="6"/>
        <v>1640</v>
      </c>
      <c r="O15" s="12">
        <f t="shared" si="7"/>
        <v>1664.9094000000002</v>
      </c>
      <c r="P15" s="12">
        <f t="shared" si="8"/>
        <v>1640</v>
      </c>
      <c r="Q15" s="37">
        <f t="shared" si="9"/>
        <v>0.8</v>
      </c>
      <c r="R15" s="12">
        <f t="shared" si="10"/>
        <v>2899.6000000000004</v>
      </c>
      <c r="S15" s="7"/>
      <c r="T15" s="7"/>
      <c r="U15" s="40">
        <f t="shared" si="11"/>
        <v>1640</v>
      </c>
      <c r="V15" s="43">
        <f t="shared" si="12"/>
        <v>1157.4794000000002</v>
      </c>
      <c r="W15" s="42">
        <f t="shared" si="13"/>
        <v>1157.4794000000002</v>
      </c>
      <c r="X15" s="7"/>
      <c r="Y15" s="7"/>
      <c r="Z15" s="7"/>
    </row>
    <row r="16" spans="1:26" ht="16" x14ac:dyDescent="0.2">
      <c r="A16" s="32">
        <v>41904</v>
      </c>
      <c r="B16" s="4">
        <v>1</v>
      </c>
      <c r="C16" s="4" t="s">
        <v>16</v>
      </c>
      <c r="D16" s="33">
        <v>3862</v>
      </c>
      <c r="E16" s="12">
        <f t="shared" si="0"/>
        <v>4248.2000000000007</v>
      </c>
      <c r="F16" s="10">
        <f t="shared" si="1"/>
        <v>2</v>
      </c>
      <c r="G16" s="12">
        <f t="shared" si="2"/>
        <v>8496.4000000000015</v>
      </c>
      <c r="H16" s="37" t="str">
        <f t="shared" si="3"/>
        <v>2014-09-22-1-A</v>
      </c>
      <c r="I16" s="38">
        <f>VLOOKUP(H16,'Historical Shipments'!$D$2:$E$10000,2,FALSE)</f>
        <v>14600.800000000001</v>
      </c>
      <c r="J16" s="10">
        <f t="shared" si="4"/>
        <v>16060.880000000003</v>
      </c>
      <c r="K16" s="12">
        <f t="shared" si="5"/>
        <v>24557.280000000006</v>
      </c>
      <c r="L16" s="39">
        <f t="array" ref="L16">INDEX('Carrier Rates'!$D$2:$D$1000, MATCH("X"&amp;"-"&amp;"A"&amp;"-"&amp;B16, 'Carrier Rates'!$E$2:$E$1000, 0))</f>
        <v>2540</v>
      </c>
      <c r="M16" s="13">
        <f t="array" ref="M16">INDEX('Carrier Rates'!$D$2:$D$1000, MATCH("Y"&amp;"-"&amp;"A"&amp;"-"&amp;B16, 'Carrier Rates'!$E$2:$E$1000, 0))</f>
        <v>0.12</v>
      </c>
      <c r="N16" s="11">
        <f t="shared" si="6"/>
        <v>2540</v>
      </c>
      <c r="O16" s="12">
        <f t="shared" si="7"/>
        <v>2946.8736000000008</v>
      </c>
      <c r="P16" s="12">
        <f t="shared" si="8"/>
        <v>2540</v>
      </c>
      <c r="Q16" s="37">
        <f t="shared" si="9"/>
        <v>0.8</v>
      </c>
      <c r="R16" s="12">
        <f t="shared" si="10"/>
        <v>3398.5600000000009</v>
      </c>
      <c r="S16" s="7"/>
      <c r="T16" s="7"/>
      <c r="U16" s="40">
        <f t="shared" si="11"/>
        <v>2540</v>
      </c>
      <c r="V16" s="43">
        <f t="shared" si="12"/>
        <v>1927.3056000000004</v>
      </c>
      <c r="W16" s="42">
        <f t="shared" si="13"/>
        <v>1927.3056000000004</v>
      </c>
      <c r="X16" s="7"/>
      <c r="Y16" s="7"/>
      <c r="Z16" s="7"/>
    </row>
    <row r="17" spans="1:26" ht="16" x14ac:dyDescent="0.2">
      <c r="A17" s="32">
        <v>41904</v>
      </c>
      <c r="B17" s="4">
        <v>2</v>
      </c>
      <c r="C17" s="4" t="s">
        <v>16</v>
      </c>
      <c r="D17" s="33">
        <v>2569</v>
      </c>
      <c r="E17" s="12">
        <f t="shared" si="0"/>
        <v>2825.9</v>
      </c>
      <c r="F17" s="10">
        <f t="shared" si="1"/>
        <v>2</v>
      </c>
      <c r="G17" s="12">
        <f t="shared" si="2"/>
        <v>5651.8</v>
      </c>
      <c r="H17" s="37" t="str">
        <f t="shared" si="3"/>
        <v>2014-09-22-2-A</v>
      </c>
      <c r="I17" s="38">
        <f>VLOOKUP(H17,'Historical Shipments'!$D$2:$E$10000,2,FALSE)</f>
        <v>11111.8</v>
      </c>
      <c r="J17" s="10">
        <f t="shared" si="4"/>
        <v>12222.98</v>
      </c>
      <c r="K17" s="12">
        <f t="shared" si="5"/>
        <v>17874.78</v>
      </c>
      <c r="L17" s="39">
        <f t="array" ref="L17">INDEX('Carrier Rates'!$D$2:$D$1000, MATCH("X"&amp;"-"&amp;"A"&amp;"-"&amp;B17, 'Carrier Rates'!$E$2:$E$1000, 0))</f>
        <v>1640</v>
      </c>
      <c r="M17" s="13">
        <f t="array" ref="M17">INDEX('Carrier Rates'!$D$2:$D$1000, MATCH("Y"&amp;"-"&amp;"A"&amp;"-"&amp;B17, 'Carrier Rates'!$E$2:$E$1000, 0))</f>
        <v>7.0000000000000007E-2</v>
      </c>
      <c r="N17" s="11">
        <f t="shared" si="6"/>
        <v>1640</v>
      </c>
      <c r="O17" s="12">
        <f t="shared" si="7"/>
        <v>1251.2346</v>
      </c>
      <c r="P17" s="12">
        <f t="shared" si="8"/>
        <v>1251.2346</v>
      </c>
      <c r="Q17" s="37">
        <f t="shared" si="9"/>
        <v>0.8</v>
      </c>
      <c r="R17" s="12">
        <f t="shared" si="10"/>
        <v>2260.7200000000003</v>
      </c>
      <c r="S17" s="7"/>
      <c r="T17" s="7"/>
      <c r="U17" s="40">
        <f t="shared" si="11"/>
        <v>1640</v>
      </c>
      <c r="V17" s="43">
        <f t="shared" si="12"/>
        <v>855.60860000000002</v>
      </c>
      <c r="W17" s="42">
        <f t="shared" si="13"/>
        <v>855.60860000000002</v>
      </c>
      <c r="X17" s="7"/>
      <c r="Y17" s="7"/>
      <c r="Z17" s="7"/>
    </row>
    <row r="18" spans="1:26" ht="16" x14ac:dyDescent="0.2">
      <c r="A18" s="32">
        <v>41911</v>
      </c>
      <c r="B18" s="4">
        <v>1</v>
      </c>
      <c r="C18" s="4" t="s">
        <v>16</v>
      </c>
      <c r="D18" s="33">
        <v>3258</v>
      </c>
      <c r="E18" s="12">
        <f t="shared" si="0"/>
        <v>3583.8</v>
      </c>
      <c r="F18" s="10">
        <f t="shared" si="1"/>
        <v>2</v>
      </c>
      <c r="G18" s="12">
        <f t="shared" si="2"/>
        <v>7167.6</v>
      </c>
      <c r="H18" s="37" t="str">
        <f t="shared" si="3"/>
        <v>2014-09-29-1-A</v>
      </c>
      <c r="I18" s="38">
        <f>VLOOKUP(H18,'Historical Shipments'!$D$2:$E$10000,2,FALSE)</f>
        <v>12973.2</v>
      </c>
      <c r="J18" s="10">
        <f t="shared" si="4"/>
        <v>14270.520000000002</v>
      </c>
      <c r="K18" s="12">
        <f t="shared" si="5"/>
        <v>21438.120000000003</v>
      </c>
      <c r="L18" s="39">
        <f t="array" ref="L18">INDEX('Carrier Rates'!$D$2:$D$1000, MATCH("X"&amp;"-"&amp;"A"&amp;"-"&amp;B18, 'Carrier Rates'!$E$2:$E$1000, 0))</f>
        <v>2540</v>
      </c>
      <c r="M18" s="13">
        <f t="array" ref="M18">INDEX('Carrier Rates'!$D$2:$D$1000, MATCH("Y"&amp;"-"&amp;"A"&amp;"-"&amp;B18, 'Carrier Rates'!$E$2:$E$1000, 0))</f>
        <v>0.12</v>
      </c>
      <c r="N18" s="11">
        <f t="shared" si="6"/>
        <v>2540</v>
      </c>
      <c r="O18" s="12">
        <f t="shared" si="7"/>
        <v>2572.5744000000004</v>
      </c>
      <c r="P18" s="12">
        <f t="shared" si="8"/>
        <v>2540</v>
      </c>
      <c r="Q18" s="37">
        <f t="shared" si="9"/>
        <v>0.8</v>
      </c>
      <c r="R18" s="12">
        <f t="shared" si="10"/>
        <v>2867.0400000000004</v>
      </c>
      <c r="S18" s="7"/>
      <c r="T18" s="7"/>
      <c r="U18" s="40">
        <f t="shared" si="11"/>
        <v>2540</v>
      </c>
      <c r="V18" s="43">
        <f t="shared" si="12"/>
        <v>1712.4624000000001</v>
      </c>
      <c r="W18" s="42">
        <f t="shared" si="13"/>
        <v>1712.4624000000001</v>
      </c>
      <c r="X18" s="7"/>
      <c r="Y18" s="7"/>
      <c r="Z18" s="7"/>
    </row>
    <row r="19" spans="1:26" ht="16" x14ac:dyDescent="0.2">
      <c r="A19" s="32">
        <v>41911</v>
      </c>
      <c r="B19" s="4">
        <v>2</v>
      </c>
      <c r="C19" s="4" t="s">
        <v>16</v>
      </c>
      <c r="D19" s="33">
        <v>2623</v>
      </c>
      <c r="E19" s="12">
        <f t="shared" si="0"/>
        <v>2885.3</v>
      </c>
      <c r="F19" s="10">
        <f t="shared" si="1"/>
        <v>2</v>
      </c>
      <c r="G19" s="12">
        <f t="shared" si="2"/>
        <v>5770.6</v>
      </c>
      <c r="H19" s="37" t="str">
        <f t="shared" si="3"/>
        <v>2014-09-29-2-A</v>
      </c>
      <c r="I19" s="38">
        <f>VLOOKUP(H19,'Historical Shipments'!$D$2:$E$10000,2,FALSE)</f>
        <v>10846.6</v>
      </c>
      <c r="J19" s="10">
        <f t="shared" si="4"/>
        <v>11931.260000000002</v>
      </c>
      <c r="K19" s="12">
        <f t="shared" si="5"/>
        <v>17701.86</v>
      </c>
      <c r="L19" s="39">
        <f t="array" ref="L19">INDEX('Carrier Rates'!$D$2:$D$1000, MATCH("X"&amp;"-"&amp;"A"&amp;"-"&amp;B19, 'Carrier Rates'!$E$2:$E$1000, 0))</f>
        <v>1640</v>
      </c>
      <c r="M19" s="13">
        <f t="array" ref="M19">INDEX('Carrier Rates'!$D$2:$D$1000, MATCH("Y"&amp;"-"&amp;"A"&amp;"-"&amp;B19, 'Carrier Rates'!$E$2:$E$1000, 0))</f>
        <v>7.0000000000000007E-2</v>
      </c>
      <c r="N19" s="11">
        <f t="shared" si="6"/>
        <v>1640</v>
      </c>
      <c r="O19" s="12">
        <f t="shared" si="7"/>
        <v>1239.1302000000001</v>
      </c>
      <c r="P19" s="12">
        <f t="shared" si="8"/>
        <v>1239.1302000000001</v>
      </c>
      <c r="Q19" s="37">
        <f t="shared" si="9"/>
        <v>0.8</v>
      </c>
      <c r="R19" s="12">
        <f t="shared" si="10"/>
        <v>2308.2400000000002</v>
      </c>
      <c r="S19" s="7"/>
      <c r="T19" s="7"/>
      <c r="U19" s="40">
        <f t="shared" si="11"/>
        <v>1640</v>
      </c>
      <c r="V19" s="43">
        <f t="shared" si="12"/>
        <v>835.18820000000017</v>
      </c>
      <c r="W19" s="42">
        <f t="shared" si="13"/>
        <v>835.18820000000017</v>
      </c>
      <c r="X19" s="7"/>
      <c r="Y19" s="7"/>
      <c r="Z19" s="7"/>
    </row>
    <row r="20" spans="1:26" ht="16" x14ac:dyDescent="0.2">
      <c r="A20" s="32">
        <v>41918</v>
      </c>
      <c r="B20" s="4">
        <v>1</v>
      </c>
      <c r="C20" s="4" t="s">
        <v>16</v>
      </c>
      <c r="D20" s="33">
        <v>4228</v>
      </c>
      <c r="E20" s="12">
        <f t="shared" si="0"/>
        <v>4650.8</v>
      </c>
      <c r="F20" s="10">
        <f t="shared" si="1"/>
        <v>2</v>
      </c>
      <c r="G20" s="12">
        <f t="shared" si="2"/>
        <v>9301.6</v>
      </c>
      <c r="H20" s="37" t="str">
        <f t="shared" si="3"/>
        <v>2014-10-06-1-A</v>
      </c>
      <c r="I20" s="38">
        <f>VLOOKUP(H20,'Historical Shipments'!$D$2:$E$10000,2,FALSE)</f>
        <v>15712</v>
      </c>
      <c r="J20" s="10">
        <f t="shared" si="4"/>
        <v>17283.2</v>
      </c>
      <c r="K20" s="12">
        <f t="shared" si="5"/>
        <v>26584.800000000003</v>
      </c>
      <c r="L20" s="39">
        <f t="array" ref="L20">INDEX('Carrier Rates'!$D$2:$D$1000, MATCH("X"&amp;"-"&amp;"A"&amp;"-"&amp;B20, 'Carrier Rates'!$E$2:$E$1000, 0))</f>
        <v>2540</v>
      </c>
      <c r="M20" s="13">
        <f t="array" ref="M20">INDEX('Carrier Rates'!$D$2:$D$1000, MATCH("Y"&amp;"-"&amp;"A"&amp;"-"&amp;B20, 'Carrier Rates'!$E$2:$E$1000, 0))</f>
        <v>0.12</v>
      </c>
      <c r="N20" s="11">
        <f t="shared" si="6"/>
        <v>2540</v>
      </c>
      <c r="O20" s="12">
        <f t="shared" si="7"/>
        <v>3190.1760000000004</v>
      </c>
      <c r="P20" s="12">
        <f t="shared" si="8"/>
        <v>2540</v>
      </c>
      <c r="Q20" s="37">
        <f t="shared" si="9"/>
        <v>0.8</v>
      </c>
      <c r="R20" s="12">
        <f t="shared" si="10"/>
        <v>3720.6400000000003</v>
      </c>
      <c r="S20" s="7"/>
      <c r="T20" s="7"/>
      <c r="U20" s="40">
        <f t="shared" si="11"/>
        <v>2540</v>
      </c>
      <c r="V20" s="43">
        <f t="shared" si="12"/>
        <v>2073.9839999999999</v>
      </c>
      <c r="W20" s="42">
        <f t="shared" si="13"/>
        <v>2073.9839999999999</v>
      </c>
      <c r="X20" s="7"/>
      <c r="Y20" s="7"/>
      <c r="Z20" s="7"/>
    </row>
    <row r="21" spans="1:26" ht="15.75" customHeight="1" x14ac:dyDescent="0.2">
      <c r="A21" s="32">
        <v>41918</v>
      </c>
      <c r="B21" s="4">
        <v>2</v>
      </c>
      <c r="C21" s="4" t="s">
        <v>16</v>
      </c>
      <c r="D21" s="33">
        <v>2897</v>
      </c>
      <c r="E21" s="12">
        <f t="shared" si="0"/>
        <v>3186.7000000000003</v>
      </c>
      <c r="F21" s="10">
        <f t="shared" si="1"/>
        <v>2</v>
      </c>
      <c r="G21" s="12">
        <f t="shared" si="2"/>
        <v>6373.4000000000005</v>
      </c>
      <c r="H21" s="37" t="str">
        <f t="shared" si="3"/>
        <v>2014-10-06-2-A</v>
      </c>
      <c r="I21" s="38">
        <f>VLOOKUP(H21,'Historical Shipments'!$D$2:$E$10000,2,FALSE)</f>
        <v>12247.400000000001</v>
      </c>
      <c r="J21" s="10">
        <f t="shared" si="4"/>
        <v>13472.140000000003</v>
      </c>
      <c r="K21" s="12">
        <f t="shared" si="5"/>
        <v>19845.540000000005</v>
      </c>
      <c r="L21" s="39">
        <f t="array" ref="L21">INDEX('Carrier Rates'!$D$2:$D$1000, MATCH("X"&amp;"-"&amp;"A"&amp;"-"&amp;B21, 'Carrier Rates'!$E$2:$E$1000, 0))</f>
        <v>1640</v>
      </c>
      <c r="M21" s="13">
        <f t="array" ref="M21">INDEX('Carrier Rates'!$D$2:$D$1000, MATCH("Y"&amp;"-"&amp;"A"&amp;"-"&amp;B21, 'Carrier Rates'!$E$2:$E$1000, 0))</f>
        <v>7.0000000000000007E-2</v>
      </c>
      <c r="N21" s="11">
        <f t="shared" si="6"/>
        <v>1640</v>
      </c>
      <c r="O21" s="12">
        <f t="shared" si="7"/>
        <v>1389.1878000000004</v>
      </c>
      <c r="P21" s="12">
        <f t="shared" si="8"/>
        <v>1389.1878000000004</v>
      </c>
      <c r="Q21" s="37">
        <f t="shared" si="9"/>
        <v>0.8</v>
      </c>
      <c r="R21" s="12">
        <f t="shared" si="10"/>
        <v>2549.3600000000006</v>
      </c>
      <c r="S21" s="7"/>
      <c r="T21" s="7"/>
      <c r="U21" s="40">
        <f t="shared" si="11"/>
        <v>1640</v>
      </c>
      <c r="V21" s="43">
        <f t="shared" si="12"/>
        <v>943.04980000000035</v>
      </c>
      <c r="W21" s="42">
        <f t="shared" si="13"/>
        <v>943.04980000000035</v>
      </c>
      <c r="X21" s="7"/>
      <c r="Y21" s="7"/>
      <c r="Z21" s="7"/>
    </row>
    <row r="22" spans="1:26" ht="15.75" customHeight="1" x14ac:dyDescent="0.2">
      <c r="A22" s="32">
        <v>41925</v>
      </c>
      <c r="B22" s="4">
        <v>1</v>
      </c>
      <c r="C22" s="4" t="s">
        <v>16</v>
      </c>
      <c r="D22" s="33">
        <v>3530</v>
      </c>
      <c r="E22" s="12">
        <f t="shared" si="0"/>
        <v>3883.0000000000005</v>
      </c>
      <c r="F22" s="10">
        <f t="shared" si="1"/>
        <v>2</v>
      </c>
      <c r="G22" s="12">
        <f t="shared" si="2"/>
        <v>7766.0000000000009</v>
      </c>
      <c r="H22" s="37" t="str">
        <f t="shared" si="3"/>
        <v>2014-10-13-1-A</v>
      </c>
      <c r="I22" s="38">
        <f>VLOOKUP(H22,'Historical Shipments'!$D$2:$E$10000,2,FALSE)</f>
        <v>13727.6</v>
      </c>
      <c r="J22" s="10">
        <f t="shared" si="4"/>
        <v>15100.360000000002</v>
      </c>
      <c r="K22" s="12">
        <f t="shared" si="5"/>
        <v>22866.360000000004</v>
      </c>
      <c r="L22" s="39">
        <f t="array" ref="L22">INDEX('Carrier Rates'!$D$2:$D$1000, MATCH("X"&amp;"-"&amp;"A"&amp;"-"&amp;B22, 'Carrier Rates'!$E$2:$E$1000, 0))</f>
        <v>2540</v>
      </c>
      <c r="M22" s="13">
        <f t="array" ref="M22">INDEX('Carrier Rates'!$D$2:$D$1000, MATCH("Y"&amp;"-"&amp;"A"&amp;"-"&amp;B22, 'Carrier Rates'!$E$2:$E$1000, 0))</f>
        <v>0.12</v>
      </c>
      <c r="N22" s="11">
        <f t="shared" si="6"/>
        <v>2540</v>
      </c>
      <c r="O22" s="12">
        <f t="shared" si="7"/>
        <v>2743.9632000000006</v>
      </c>
      <c r="P22" s="12">
        <f t="shared" si="8"/>
        <v>2540</v>
      </c>
      <c r="Q22" s="37">
        <f t="shared" si="9"/>
        <v>0.8</v>
      </c>
      <c r="R22" s="12">
        <f t="shared" si="10"/>
        <v>3106.4000000000005</v>
      </c>
      <c r="S22" s="7"/>
      <c r="T22" s="7"/>
      <c r="U22" s="40">
        <f t="shared" si="11"/>
        <v>2540</v>
      </c>
      <c r="V22" s="43">
        <f t="shared" si="12"/>
        <v>1812.0432000000003</v>
      </c>
      <c r="W22" s="42">
        <f t="shared" si="13"/>
        <v>1812.0432000000003</v>
      </c>
      <c r="X22" s="7"/>
      <c r="Y22" s="7"/>
      <c r="Z22" s="7"/>
    </row>
    <row r="23" spans="1:26" ht="15.75" customHeight="1" x14ac:dyDescent="0.2">
      <c r="A23" s="32">
        <v>41925</v>
      </c>
      <c r="B23" s="4">
        <v>2</v>
      </c>
      <c r="C23" s="4" t="s">
        <v>16</v>
      </c>
      <c r="D23" s="33">
        <v>2868</v>
      </c>
      <c r="E23" s="12">
        <f t="shared" si="0"/>
        <v>3154.8</v>
      </c>
      <c r="F23" s="10">
        <f t="shared" si="1"/>
        <v>2</v>
      </c>
      <c r="G23" s="12">
        <f t="shared" si="2"/>
        <v>6309.6</v>
      </c>
      <c r="H23" s="37" t="str">
        <f t="shared" si="3"/>
        <v>2014-10-13-2-A</v>
      </c>
      <c r="I23" s="38">
        <f>VLOOKUP(H23,'Historical Shipments'!$D$2:$E$10000,2,FALSE)</f>
        <v>11606.400000000001</v>
      </c>
      <c r="J23" s="10">
        <f t="shared" si="4"/>
        <v>12767.040000000003</v>
      </c>
      <c r="K23" s="12">
        <f t="shared" si="5"/>
        <v>19076.640000000003</v>
      </c>
      <c r="L23" s="39">
        <f t="array" ref="L23">INDEX('Carrier Rates'!$D$2:$D$1000, MATCH("X"&amp;"-"&amp;"A"&amp;"-"&amp;B23, 'Carrier Rates'!$E$2:$E$1000, 0))</f>
        <v>1640</v>
      </c>
      <c r="M23" s="13">
        <f t="array" ref="M23">INDEX('Carrier Rates'!$D$2:$D$1000, MATCH("Y"&amp;"-"&amp;"A"&amp;"-"&amp;B23, 'Carrier Rates'!$E$2:$E$1000, 0))</f>
        <v>7.0000000000000007E-2</v>
      </c>
      <c r="N23" s="11">
        <f t="shared" si="6"/>
        <v>1640</v>
      </c>
      <c r="O23" s="12">
        <f t="shared" si="7"/>
        <v>1335.3648000000003</v>
      </c>
      <c r="P23" s="12">
        <f t="shared" si="8"/>
        <v>1335.3648000000003</v>
      </c>
      <c r="Q23" s="37">
        <f t="shared" si="9"/>
        <v>0.8</v>
      </c>
      <c r="R23" s="12">
        <f t="shared" si="10"/>
        <v>2523.84</v>
      </c>
      <c r="S23" s="7"/>
      <c r="T23" s="7"/>
      <c r="U23" s="40">
        <f t="shared" si="11"/>
        <v>1640</v>
      </c>
      <c r="V23" s="43">
        <f t="shared" si="12"/>
        <v>893.69280000000026</v>
      </c>
      <c r="W23" s="42">
        <f t="shared" si="13"/>
        <v>893.69280000000026</v>
      </c>
      <c r="X23" s="7"/>
      <c r="Y23" s="7"/>
      <c r="Z23" s="7"/>
    </row>
    <row r="24" spans="1:26" ht="15.75" customHeight="1" x14ac:dyDescent="0.2">
      <c r="A24" s="32">
        <v>41932</v>
      </c>
      <c r="B24" s="4">
        <v>1</v>
      </c>
      <c r="C24" s="4" t="s">
        <v>16</v>
      </c>
      <c r="D24" s="33">
        <v>4227</v>
      </c>
      <c r="E24" s="12">
        <f t="shared" si="0"/>
        <v>4649.7000000000007</v>
      </c>
      <c r="F24" s="10">
        <f t="shared" si="1"/>
        <v>2</v>
      </c>
      <c r="G24" s="12">
        <f t="shared" si="2"/>
        <v>9299.4000000000015</v>
      </c>
      <c r="H24" s="37" t="str">
        <f t="shared" si="3"/>
        <v>2014-10-20-1-A</v>
      </c>
      <c r="I24" s="38">
        <f>VLOOKUP(H24,'Historical Shipments'!$D$2:$E$10000,2,FALSE)</f>
        <v>15927</v>
      </c>
      <c r="J24" s="10">
        <f t="shared" si="4"/>
        <v>17519.7</v>
      </c>
      <c r="K24" s="12">
        <f t="shared" si="5"/>
        <v>26819.100000000002</v>
      </c>
      <c r="L24" s="39">
        <f t="array" ref="L24">INDEX('Carrier Rates'!$D$2:$D$1000, MATCH("X"&amp;"-"&amp;"A"&amp;"-"&amp;B24, 'Carrier Rates'!$E$2:$E$1000, 0))</f>
        <v>2540</v>
      </c>
      <c r="M24" s="13">
        <f t="array" ref="M24">INDEX('Carrier Rates'!$D$2:$D$1000, MATCH("Y"&amp;"-"&amp;"A"&amp;"-"&amp;B24, 'Carrier Rates'!$E$2:$E$1000, 0))</f>
        <v>0.12</v>
      </c>
      <c r="N24" s="11">
        <f t="shared" si="6"/>
        <v>2540</v>
      </c>
      <c r="O24" s="12">
        <f t="shared" si="7"/>
        <v>3218.2919999999999</v>
      </c>
      <c r="P24" s="12">
        <f t="shared" si="8"/>
        <v>2540</v>
      </c>
      <c r="Q24" s="37">
        <f t="shared" si="9"/>
        <v>0.8</v>
      </c>
      <c r="R24" s="12">
        <f t="shared" si="10"/>
        <v>3719.7600000000007</v>
      </c>
      <c r="S24" s="7"/>
      <c r="T24" s="7"/>
      <c r="U24" s="40">
        <f t="shared" si="11"/>
        <v>2540</v>
      </c>
      <c r="V24" s="43">
        <f t="shared" si="12"/>
        <v>2102.364</v>
      </c>
      <c r="W24" s="42">
        <f t="shared" si="13"/>
        <v>2102.364</v>
      </c>
      <c r="X24" s="7"/>
      <c r="Y24" s="7"/>
      <c r="Z24" s="7"/>
    </row>
    <row r="25" spans="1:26" ht="15.75" customHeight="1" x14ac:dyDescent="0.2">
      <c r="A25" s="32">
        <v>41932</v>
      </c>
      <c r="B25" s="4">
        <v>2</v>
      </c>
      <c r="C25" s="4" t="s">
        <v>16</v>
      </c>
      <c r="D25" s="33">
        <v>3205</v>
      </c>
      <c r="E25" s="12">
        <f t="shared" si="0"/>
        <v>3525.5000000000005</v>
      </c>
      <c r="F25" s="10">
        <f t="shared" si="1"/>
        <v>2</v>
      </c>
      <c r="G25" s="12">
        <f t="shared" si="2"/>
        <v>7051.0000000000009</v>
      </c>
      <c r="H25" s="37" t="str">
        <f t="shared" si="3"/>
        <v>2014-10-20-2-A</v>
      </c>
      <c r="I25" s="38">
        <f>VLOOKUP(H25,'Historical Shipments'!$D$2:$E$10000,2,FALSE)</f>
        <v>14049.400000000001</v>
      </c>
      <c r="J25" s="10">
        <f t="shared" si="4"/>
        <v>15454.340000000002</v>
      </c>
      <c r="K25" s="12">
        <f t="shared" si="5"/>
        <v>22505.340000000004</v>
      </c>
      <c r="L25" s="39">
        <f t="array" ref="L25">INDEX('Carrier Rates'!$D$2:$D$1000, MATCH("X"&amp;"-"&amp;"A"&amp;"-"&amp;B25, 'Carrier Rates'!$E$2:$E$1000, 0))</f>
        <v>1640</v>
      </c>
      <c r="M25" s="13">
        <f t="array" ref="M25">INDEX('Carrier Rates'!$D$2:$D$1000, MATCH("Y"&amp;"-"&amp;"A"&amp;"-"&amp;B25, 'Carrier Rates'!$E$2:$E$1000, 0))</f>
        <v>7.0000000000000007E-2</v>
      </c>
      <c r="N25" s="11">
        <f t="shared" si="6"/>
        <v>1640</v>
      </c>
      <c r="O25" s="12">
        <f t="shared" si="7"/>
        <v>1575.3738000000003</v>
      </c>
      <c r="P25" s="12">
        <f t="shared" si="8"/>
        <v>1575.3738000000003</v>
      </c>
      <c r="Q25" s="37">
        <f t="shared" si="9"/>
        <v>0.8</v>
      </c>
      <c r="R25" s="12">
        <f t="shared" si="10"/>
        <v>2820.4000000000005</v>
      </c>
      <c r="S25" s="7"/>
      <c r="T25" s="7"/>
      <c r="U25" s="40">
        <f t="shared" si="11"/>
        <v>1640</v>
      </c>
      <c r="V25" s="43">
        <f t="shared" si="12"/>
        <v>1081.8038000000001</v>
      </c>
      <c r="W25" s="42">
        <f t="shared" si="13"/>
        <v>1081.8038000000001</v>
      </c>
      <c r="X25" s="7"/>
      <c r="Y25" s="7"/>
      <c r="Z25" s="7"/>
    </row>
    <row r="26" spans="1:26" ht="15.75" customHeight="1" x14ac:dyDescent="0.2">
      <c r="A26" s="32">
        <v>41939</v>
      </c>
      <c r="B26" s="4">
        <v>1</v>
      </c>
      <c r="C26" s="4" t="s">
        <v>16</v>
      </c>
      <c r="D26" s="33">
        <v>2990</v>
      </c>
      <c r="E26" s="12">
        <f t="shared" si="0"/>
        <v>3289.0000000000005</v>
      </c>
      <c r="F26" s="10">
        <f t="shared" si="1"/>
        <v>2</v>
      </c>
      <c r="G26" s="12">
        <f t="shared" si="2"/>
        <v>6578.0000000000009</v>
      </c>
      <c r="H26" s="37" t="str">
        <f t="shared" si="3"/>
        <v>2014-10-27-1-A</v>
      </c>
      <c r="I26" s="38">
        <f>VLOOKUP(H26,'Historical Shipments'!$D$2:$E$10000,2,FALSE)</f>
        <v>13166</v>
      </c>
      <c r="J26" s="10">
        <f t="shared" si="4"/>
        <v>14482.6</v>
      </c>
      <c r="K26" s="12">
        <f t="shared" si="5"/>
        <v>21060.600000000002</v>
      </c>
      <c r="L26" s="39">
        <f t="array" ref="L26">INDEX('Carrier Rates'!$D$2:$D$1000, MATCH("X"&amp;"-"&amp;"A"&amp;"-"&amp;B26, 'Carrier Rates'!$E$2:$E$1000, 0))</f>
        <v>2540</v>
      </c>
      <c r="M26" s="13">
        <f t="array" ref="M26">INDEX('Carrier Rates'!$D$2:$D$1000, MATCH("Y"&amp;"-"&amp;"A"&amp;"-"&amp;B26, 'Carrier Rates'!$E$2:$E$1000, 0))</f>
        <v>0.12</v>
      </c>
      <c r="N26" s="11">
        <f t="shared" si="6"/>
        <v>2540</v>
      </c>
      <c r="O26" s="12">
        <f t="shared" si="7"/>
        <v>2527.2720000000004</v>
      </c>
      <c r="P26" s="12">
        <f t="shared" si="8"/>
        <v>2527.2720000000004</v>
      </c>
      <c r="Q26" s="37">
        <f t="shared" si="9"/>
        <v>0.8</v>
      </c>
      <c r="R26" s="12">
        <f t="shared" si="10"/>
        <v>2631.2000000000007</v>
      </c>
      <c r="S26" s="7"/>
      <c r="T26" s="7"/>
      <c r="U26" s="40">
        <f t="shared" si="11"/>
        <v>2540</v>
      </c>
      <c r="V26" s="43">
        <f t="shared" si="12"/>
        <v>1737.912</v>
      </c>
      <c r="W26" s="42">
        <f t="shared" si="13"/>
        <v>1737.912</v>
      </c>
      <c r="X26" s="7"/>
      <c r="Y26" s="7"/>
      <c r="Z26" s="7"/>
    </row>
    <row r="27" spans="1:26" ht="15.75" customHeight="1" x14ac:dyDescent="0.2">
      <c r="A27" s="32">
        <v>41939</v>
      </c>
      <c r="B27" s="4">
        <v>2</v>
      </c>
      <c r="C27" s="4" t="s">
        <v>16</v>
      </c>
      <c r="D27" s="33">
        <v>1470</v>
      </c>
      <c r="E27" s="12">
        <f t="shared" si="0"/>
        <v>1617.0000000000002</v>
      </c>
      <c r="F27" s="10">
        <f t="shared" si="1"/>
        <v>2</v>
      </c>
      <c r="G27" s="12">
        <f t="shared" si="2"/>
        <v>3234.0000000000005</v>
      </c>
      <c r="H27" s="37" t="str">
        <f t="shared" si="3"/>
        <v>2014-10-27-2-A</v>
      </c>
      <c r="I27" s="38">
        <f>VLOOKUP(H27,'Historical Shipments'!$D$2:$E$10000,2,FALSE)</f>
        <v>9325.2000000000007</v>
      </c>
      <c r="J27" s="10">
        <f t="shared" si="4"/>
        <v>10257.720000000001</v>
      </c>
      <c r="K27" s="12">
        <f t="shared" si="5"/>
        <v>13491.720000000001</v>
      </c>
      <c r="L27" s="39">
        <f t="array" ref="L27">INDEX('Carrier Rates'!$D$2:$D$1000, MATCH("X"&amp;"-"&amp;"A"&amp;"-"&amp;B27, 'Carrier Rates'!$E$2:$E$1000, 0))</f>
        <v>1640</v>
      </c>
      <c r="M27" s="13">
        <f t="array" ref="M27">INDEX('Carrier Rates'!$D$2:$D$1000, MATCH("Y"&amp;"-"&amp;"A"&amp;"-"&amp;B27, 'Carrier Rates'!$E$2:$E$1000, 0))</f>
        <v>7.0000000000000007E-2</v>
      </c>
      <c r="N27" s="11">
        <f t="shared" si="6"/>
        <v>1640</v>
      </c>
      <c r="O27" s="12">
        <f t="shared" si="7"/>
        <v>944.4204000000002</v>
      </c>
      <c r="P27" s="12">
        <f t="shared" si="8"/>
        <v>944.4204000000002</v>
      </c>
      <c r="Q27" s="37">
        <f t="shared" si="9"/>
        <v>0.8</v>
      </c>
      <c r="R27" s="12">
        <f t="shared" si="10"/>
        <v>1293.6000000000004</v>
      </c>
      <c r="S27" s="7"/>
      <c r="T27" s="7"/>
      <c r="U27" s="40">
        <f t="shared" si="11"/>
        <v>1640</v>
      </c>
      <c r="V27" s="43">
        <f t="shared" si="12"/>
        <v>718.0404000000002</v>
      </c>
      <c r="W27" s="42">
        <f t="shared" si="13"/>
        <v>718.0404000000002</v>
      </c>
      <c r="X27" s="7"/>
      <c r="Y27" s="7"/>
      <c r="Z27" s="7"/>
    </row>
    <row r="28" spans="1:26" ht="15.75" customHeight="1" x14ac:dyDescent="0.2">
      <c r="A28" s="32">
        <v>41946</v>
      </c>
      <c r="B28" s="4">
        <v>1</v>
      </c>
      <c r="C28" s="4" t="s">
        <v>16</v>
      </c>
      <c r="D28" s="33">
        <v>3493</v>
      </c>
      <c r="E28" s="12">
        <f t="shared" si="0"/>
        <v>3842.3</v>
      </c>
      <c r="F28" s="10">
        <f t="shared" si="1"/>
        <v>2</v>
      </c>
      <c r="G28" s="12">
        <f t="shared" si="2"/>
        <v>7684.6</v>
      </c>
      <c r="H28" s="37" t="str">
        <f t="shared" si="3"/>
        <v>2014-11-03-1-A</v>
      </c>
      <c r="I28" s="38">
        <f>VLOOKUP(H28,'Historical Shipments'!$D$2:$E$10000,2,FALSE)</f>
        <v>14426.2</v>
      </c>
      <c r="J28" s="10">
        <f t="shared" si="4"/>
        <v>15868.820000000002</v>
      </c>
      <c r="K28" s="12">
        <f t="shared" si="5"/>
        <v>23553.420000000002</v>
      </c>
      <c r="L28" s="39">
        <f t="array" ref="L28">INDEX('Carrier Rates'!$D$2:$D$1000, MATCH("X"&amp;"-"&amp;"A"&amp;"-"&amp;B28, 'Carrier Rates'!$E$2:$E$1000, 0))</f>
        <v>2540</v>
      </c>
      <c r="M28" s="13">
        <f t="array" ref="M28">INDEX('Carrier Rates'!$D$2:$D$1000, MATCH("Y"&amp;"-"&amp;"A"&amp;"-"&amp;B28, 'Carrier Rates'!$E$2:$E$1000, 0))</f>
        <v>0.12</v>
      </c>
      <c r="N28" s="11">
        <f t="shared" si="6"/>
        <v>2540</v>
      </c>
      <c r="O28" s="12">
        <f t="shared" si="7"/>
        <v>2826.4104000000002</v>
      </c>
      <c r="P28" s="12">
        <f t="shared" si="8"/>
        <v>2540</v>
      </c>
      <c r="Q28" s="37">
        <f t="shared" si="9"/>
        <v>0.8</v>
      </c>
      <c r="R28" s="12">
        <f t="shared" si="10"/>
        <v>3073.84</v>
      </c>
      <c r="S28" s="7"/>
      <c r="T28" s="7"/>
      <c r="U28" s="40">
        <f t="shared" si="11"/>
        <v>2540</v>
      </c>
      <c r="V28" s="43">
        <f t="shared" si="12"/>
        <v>1904.2584000000002</v>
      </c>
      <c r="W28" s="42">
        <f t="shared" si="13"/>
        <v>1904.2584000000002</v>
      </c>
      <c r="X28" s="7"/>
      <c r="Y28" s="7"/>
      <c r="Z28" s="7"/>
    </row>
    <row r="29" spans="1:26" ht="15.75" customHeight="1" x14ac:dyDescent="0.2">
      <c r="A29" s="32">
        <v>41946</v>
      </c>
      <c r="B29" s="4">
        <v>2</v>
      </c>
      <c r="C29" s="4" t="s">
        <v>16</v>
      </c>
      <c r="D29" s="33">
        <v>2842</v>
      </c>
      <c r="E29" s="12">
        <f t="shared" si="0"/>
        <v>3126.2000000000003</v>
      </c>
      <c r="F29" s="10">
        <f t="shared" si="1"/>
        <v>2</v>
      </c>
      <c r="G29" s="12">
        <f t="shared" si="2"/>
        <v>6252.4000000000005</v>
      </c>
      <c r="H29" s="37" t="str">
        <f t="shared" si="3"/>
        <v>2014-11-03-2-A</v>
      </c>
      <c r="I29" s="38">
        <f>VLOOKUP(H29,'Historical Shipments'!$D$2:$E$10000,2,FALSE)</f>
        <v>12604</v>
      </c>
      <c r="J29" s="10">
        <f t="shared" si="4"/>
        <v>13864.400000000001</v>
      </c>
      <c r="K29" s="12">
        <f t="shared" si="5"/>
        <v>20116.800000000003</v>
      </c>
      <c r="L29" s="39">
        <f t="array" ref="L29">INDEX('Carrier Rates'!$D$2:$D$1000, MATCH("X"&amp;"-"&amp;"A"&amp;"-"&amp;B29, 'Carrier Rates'!$E$2:$E$1000, 0))</f>
        <v>1640</v>
      </c>
      <c r="M29" s="13">
        <f t="array" ref="M29">INDEX('Carrier Rates'!$D$2:$D$1000, MATCH("Y"&amp;"-"&amp;"A"&amp;"-"&amp;B29, 'Carrier Rates'!$E$2:$E$1000, 0))</f>
        <v>7.0000000000000007E-2</v>
      </c>
      <c r="N29" s="11">
        <f t="shared" si="6"/>
        <v>1640</v>
      </c>
      <c r="O29" s="12">
        <f t="shared" si="7"/>
        <v>1408.1760000000004</v>
      </c>
      <c r="P29" s="12">
        <f t="shared" si="8"/>
        <v>1408.1760000000004</v>
      </c>
      <c r="Q29" s="37">
        <f t="shared" si="9"/>
        <v>0.8</v>
      </c>
      <c r="R29" s="12">
        <f t="shared" si="10"/>
        <v>2500.9600000000005</v>
      </c>
      <c r="S29" s="7"/>
      <c r="T29" s="7"/>
      <c r="U29" s="40">
        <f t="shared" si="11"/>
        <v>1640</v>
      </c>
      <c r="V29" s="43">
        <f t="shared" si="12"/>
        <v>970.50800000000015</v>
      </c>
      <c r="W29" s="42">
        <f t="shared" si="13"/>
        <v>970.50800000000015</v>
      </c>
      <c r="X29" s="7"/>
      <c r="Y29" s="7"/>
      <c r="Z29" s="7"/>
    </row>
    <row r="30" spans="1:26" ht="15.75" customHeight="1" x14ac:dyDescent="0.2">
      <c r="A30" s="32">
        <v>41953</v>
      </c>
      <c r="B30" s="4">
        <v>1</v>
      </c>
      <c r="C30" s="4" t="s">
        <v>16</v>
      </c>
      <c r="D30" s="33">
        <v>4838</v>
      </c>
      <c r="E30" s="12">
        <f t="shared" si="0"/>
        <v>5321.8</v>
      </c>
      <c r="F30" s="10">
        <f t="shared" si="1"/>
        <v>2</v>
      </c>
      <c r="G30" s="12">
        <f t="shared" si="2"/>
        <v>10643.6</v>
      </c>
      <c r="H30" s="37" t="str">
        <f t="shared" si="3"/>
        <v>2014-11-10-1-A</v>
      </c>
      <c r="I30" s="38">
        <f>VLOOKUP(H30,'Historical Shipments'!$D$2:$E$10000,2,FALSE)</f>
        <v>18369.2</v>
      </c>
      <c r="J30" s="10">
        <f t="shared" si="4"/>
        <v>20206.120000000003</v>
      </c>
      <c r="K30" s="12">
        <f t="shared" si="5"/>
        <v>30849.72</v>
      </c>
      <c r="L30" s="39">
        <f t="array" ref="L30">INDEX('Carrier Rates'!$D$2:$D$1000, MATCH("X"&amp;"-"&amp;"A"&amp;"-"&amp;B30, 'Carrier Rates'!$E$2:$E$1000, 0))</f>
        <v>2540</v>
      </c>
      <c r="M30" s="13">
        <f t="array" ref="M30">INDEX('Carrier Rates'!$D$2:$D$1000, MATCH("Y"&amp;"-"&amp;"A"&amp;"-"&amp;B30, 'Carrier Rates'!$E$2:$E$1000, 0))</f>
        <v>0.12</v>
      </c>
      <c r="N30" s="11">
        <f t="shared" si="6"/>
        <v>2540</v>
      </c>
      <c r="O30" s="12">
        <f t="shared" si="7"/>
        <v>3701.9663999999998</v>
      </c>
      <c r="P30" s="12">
        <f t="shared" si="8"/>
        <v>2540</v>
      </c>
      <c r="Q30" s="37">
        <f t="shared" si="9"/>
        <v>0.8</v>
      </c>
      <c r="R30" s="12">
        <f t="shared" si="10"/>
        <v>4257.4400000000005</v>
      </c>
      <c r="S30" s="7"/>
      <c r="T30" s="7"/>
      <c r="U30" s="40">
        <f t="shared" si="11"/>
        <v>2540</v>
      </c>
      <c r="V30" s="43">
        <f t="shared" si="12"/>
        <v>2424.7344000000003</v>
      </c>
      <c r="W30" s="42">
        <f t="shared" si="13"/>
        <v>2424.7344000000003</v>
      </c>
      <c r="X30" s="7"/>
      <c r="Y30" s="7"/>
      <c r="Z30" s="7"/>
    </row>
    <row r="31" spans="1:26" ht="15.75" customHeight="1" x14ac:dyDescent="0.2">
      <c r="A31" s="32">
        <v>41953</v>
      </c>
      <c r="B31" s="4">
        <v>2</v>
      </c>
      <c r="C31" s="4" t="s">
        <v>16</v>
      </c>
      <c r="D31" s="33">
        <v>3750</v>
      </c>
      <c r="E31" s="12">
        <f t="shared" si="0"/>
        <v>4125</v>
      </c>
      <c r="F31" s="10">
        <f t="shared" si="1"/>
        <v>2</v>
      </c>
      <c r="G31" s="12">
        <f t="shared" si="2"/>
        <v>8250</v>
      </c>
      <c r="H31" s="37" t="str">
        <f t="shared" si="3"/>
        <v>2014-11-10-2-A</v>
      </c>
      <c r="I31" s="38">
        <f>VLOOKUP(H31,'Historical Shipments'!$D$2:$E$10000,2,FALSE)</f>
        <v>15840</v>
      </c>
      <c r="J31" s="10">
        <f t="shared" si="4"/>
        <v>17424</v>
      </c>
      <c r="K31" s="12">
        <f t="shared" si="5"/>
        <v>25674</v>
      </c>
      <c r="L31" s="39">
        <f t="array" ref="L31">INDEX('Carrier Rates'!$D$2:$D$1000, MATCH("X"&amp;"-"&amp;"A"&amp;"-"&amp;B31, 'Carrier Rates'!$E$2:$E$1000, 0))</f>
        <v>1640</v>
      </c>
      <c r="M31" s="13">
        <f t="array" ref="M31">INDEX('Carrier Rates'!$D$2:$D$1000, MATCH("Y"&amp;"-"&amp;"A"&amp;"-"&amp;B31, 'Carrier Rates'!$E$2:$E$1000, 0))</f>
        <v>7.0000000000000007E-2</v>
      </c>
      <c r="N31" s="11">
        <f t="shared" si="6"/>
        <v>1640</v>
      </c>
      <c r="O31" s="12">
        <f t="shared" si="7"/>
        <v>1797.18</v>
      </c>
      <c r="P31" s="12">
        <f t="shared" si="8"/>
        <v>1640</v>
      </c>
      <c r="Q31" s="37">
        <f t="shared" si="9"/>
        <v>0.8</v>
      </c>
      <c r="R31" s="12">
        <f t="shared" si="10"/>
        <v>3300</v>
      </c>
      <c r="S31" s="7"/>
      <c r="T31" s="7"/>
      <c r="U31" s="40">
        <f t="shared" si="11"/>
        <v>1640</v>
      </c>
      <c r="V31" s="43">
        <f t="shared" si="12"/>
        <v>1219.68</v>
      </c>
      <c r="W31" s="42">
        <f t="shared" si="13"/>
        <v>1219.68</v>
      </c>
      <c r="X31" s="7"/>
      <c r="Y31" s="7"/>
      <c r="Z31" s="7"/>
    </row>
    <row r="32" spans="1:26" ht="15.75" customHeight="1" x14ac:dyDescent="0.2">
      <c r="A32" s="32">
        <v>41960</v>
      </c>
      <c r="B32" s="4">
        <v>1</v>
      </c>
      <c r="C32" s="4" t="s">
        <v>16</v>
      </c>
      <c r="D32" s="33">
        <v>3560</v>
      </c>
      <c r="E32" s="12">
        <f t="shared" si="0"/>
        <v>3916.0000000000005</v>
      </c>
      <c r="F32" s="10">
        <f t="shared" si="1"/>
        <v>2</v>
      </c>
      <c r="G32" s="12">
        <f t="shared" si="2"/>
        <v>7832.0000000000009</v>
      </c>
      <c r="H32" s="37" t="str">
        <f t="shared" si="3"/>
        <v>2014-11-17-1-A</v>
      </c>
      <c r="I32" s="38">
        <f>VLOOKUP(H32,'Historical Shipments'!$D$2:$E$10000,2,FALSE)</f>
        <v>14727.2</v>
      </c>
      <c r="J32" s="10">
        <f t="shared" si="4"/>
        <v>16199.920000000002</v>
      </c>
      <c r="K32" s="12">
        <f t="shared" si="5"/>
        <v>24031.920000000002</v>
      </c>
      <c r="L32" s="39">
        <f t="array" ref="L32">INDEX('Carrier Rates'!$D$2:$D$1000, MATCH("X"&amp;"-"&amp;"A"&amp;"-"&amp;B32, 'Carrier Rates'!$E$2:$E$1000, 0))</f>
        <v>2540</v>
      </c>
      <c r="M32" s="13">
        <f t="array" ref="M32">INDEX('Carrier Rates'!$D$2:$D$1000, MATCH("Y"&amp;"-"&amp;"A"&amp;"-"&amp;B32, 'Carrier Rates'!$E$2:$E$1000, 0))</f>
        <v>0.12</v>
      </c>
      <c r="N32" s="11">
        <f t="shared" si="6"/>
        <v>2540</v>
      </c>
      <c r="O32" s="12">
        <f t="shared" si="7"/>
        <v>2883.8304000000003</v>
      </c>
      <c r="P32" s="12">
        <f t="shared" si="8"/>
        <v>2540</v>
      </c>
      <c r="Q32" s="37">
        <f t="shared" si="9"/>
        <v>0.8</v>
      </c>
      <c r="R32" s="12">
        <f t="shared" si="10"/>
        <v>3132.8000000000006</v>
      </c>
      <c r="S32" s="7"/>
      <c r="T32" s="7"/>
      <c r="U32" s="40">
        <f t="shared" si="11"/>
        <v>2540</v>
      </c>
      <c r="V32" s="43">
        <f t="shared" si="12"/>
        <v>1943.9904000000001</v>
      </c>
      <c r="W32" s="42">
        <f t="shared" si="13"/>
        <v>1943.9904000000001</v>
      </c>
      <c r="X32" s="7"/>
      <c r="Y32" s="7"/>
      <c r="Z32" s="7"/>
    </row>
    <row r="33" spans="1:26" ht="15.75" customHeight="1" x14ac:dyDescent="0.2">
      <c r="A33" s="32">
        <v>41960</v>
      </c>
      <c r="B33" s="4">
        <v>2</v>
      </c>
      <c r="C33" s="4" t="s">
        <v>16</v>
      </c>
      <c r="D33" s="33">
        <v>2293</v>
      </c>
      <c r="E33" s="12">
        <f t="shared" si="0"/>
        <v>2522.3000000000002</v>
      </c>
      <c r="F33" s="10">
        <f t="shared" si="1"/>
        <v>2</v>
      </c>
      <c r="G33" s="12">
        <f t="shared" si="2"/>
        <v>5044.6000000000004</v>
      </c>
      <c r="H33" s="37" t="str">
        <f t="shared" si="3"/>
        <v>2014-11-17-2-A</v>
      </c>
      <c r="I33" s="38">
        <f>VLOOKUP(H33,'Historical Shipments'!$D$2:$E$10000,2,FALSE)</f>
        <v>13255</v>
      </c>
      <c r="J33" s="10">
        <f t="shared" si="4"/>
        <v>14580.500000000002</v>
      </c>
      <c r="K33" s="12">
        <f t="shared" si="5"/>
        <v>19625.100000000002</v>
      </c>
      <c r="L33" s="39">
        <f t="array" ref="L33">INDEX('Carrier Rates'!$D$2:$D$1000, MATCH("X"&amp;"-"&amp;"A"&amp;"-"&amp;B33, 'Carrier Rates'!$E$2:$E$1000, 0))</f>
        <v>1640</v>
      </c>
      <c r="M33" s="13">
        <f t="array" ref="M33">INDEX('Carrier Rates'!$D$2:$D$1000, MATCH("Y"&amp;"-"&amp;"A"&amp;"-"&amp;B33, 'Carrier Rates'!$E$2:$E$1000, 0))</f>
        <v>7.0000000000000007E-2</v>
      </c>
      <c r="N33" s="11">
        <f t="shared" si="6"/>
        <v>1640</v>
      </c>
      <c r="O33" s="12">
        <f t="shared" si="7"/>
        <v>1373.7570000000003</v>
      </c>
      <c r="P33" s="12">
        <f t="shared" si="8"/>
        <v>1373.7570000000003</v>
      </c>
      <c r="Q33" s="37">
        <f t="shared" si="9"/>
        <v>0.8</v>
      </c>
      <c r="R33" s="12">
        <f t="shared" si="10"/>
        <v>2017.8400000000001</v>
      </c>
      <c r="S33" s="7"/>
      <c r="T33" s="7"/>
      <c r="U33" s="40">
        <f t="shared" si="11"/>
        <v>1640</v>
      </c>
      <c r="V33" s="43">
        <f t="shared" si="12"/>
        <v>1020.6350000000002</v>
      </c>
      <c r="W33" s="42">
        <f t="shared" si="13"/>
        <v>1020.6350000000002</v>
      </c>
      <c r="X33" s="7"/>
      <c r="Y33" s="7"/>
      <c r="Z33" s="7"/>
    </row>
    <row r="34" spans="1:26" ht="15.75" customHeight="1" x14ac:dyDescent="0.2">
      <c r="A34" s="32">
        <v>41967</v>
      </c>
      <c r="B34" s="4">
        <v>1</v>
      </c>
      <c r="C34" s="4" t="s">
        <v>16</v>
      </c>
      <c r="D34" s="33">
        <v>4329</v>
      </c>
      <c r="E34" s="12">
        <f t="shared" si="0"/>
        <v>4761.9000000000005</v>
      </c>
      <c r="F34" s="10">
        <f t="shared" si="1"/>
        <v>2</v>
      </c>
      <c r="G34" s="12">
        <f t="shared" si="2"/>
        <v>9523.8000000000011</v>
      </c>
      <c r="H34" s="37" t="str">
        <f t="shared" si="3"/>
        <v>2014-11-24-1-A</v>
      </c>
      <c r="I34" s="38">
        <f>VLOOKUP(H34,'Historical Shipments'!$D$2:$E$10000,2,FALSE)</f>
        <v>15463.800000000001</v>
      </c>
      <c r="J34" s="10">
        <f t="shared" si="4"/>
        <v>17010.180000000004</v>
      </c>
      <c r="K34" s="12">
        <f t="shared" si="5"/>
        <v>26533.980000000003</v>
      </c>
      <c r="L34" s="39">
        <f t="array" ref="L34">INDEX('Carrier Rates'!$D$2:$D$1000, MATCH("X"&amp;"-"&amp;"A"&amp;"-"&amp;B34, 'Carrier Rates'!$E$2:$E$1000, 0))</f>
        <v>2540</v>
      </c>
      <c r="M34" s="13">
        <f t="array" ref="M34">INDEX('Carrier Rates'!$D$2:$D$1000, MATCH("Y"&amp;"-"&amp;"A"&amp;"-"&amp;B34, 'Carrier Rates'!$E$2:$E$1000, 0))</f>
        <v>0.12</v>
      </c>
      <c r="N34" s="11">
        <f t="shared" si="6"/>
        <v>2540</v>
      </c>
      <c r="O34" s="12">
        <f t="shared" si="7"/>
        <v>3184.0776000000001</v>
      </c>
      <c r="P34" s="12">
        <f t="shared" si="8"/>
        <v>2540</v>
      </c>
      <c r="Q34" s="37">
        <f t="shared" si="9"/>
        <v>0.8</v>
      </c>
      <c r="R34" s="12">
        <f t="shared" si="10"/>
        <v>3809.5200000000004</v>
      </c>
      <c r="S34" s="7"/>
      <c r="T34" s="7"/>
      <c r="U34" s="40">
        <f t="shared" si="11"/>
        <v>2540</v>
      </c>
      <c r="V34" s="43">
        <f t="shared" si="12"/>
        <v>2041.2216000000003</v>
      </c>
      <c r="W34" s="42">
        <f t="shared" si="13"/>
        <v>2041.2216000000003</v>
      </c>
      <c r="X34" s="7"/>
      <c r="Y34" s="7"/>
      <c r="Z34" s="7"/>
    </row>
    <row r="35" spans="1:26" ht="15.75" customHeight="1" x14ac:dyDescent="0.2">
      <c r="A35" s="32">
        <v>41967</v>
      </c>
      <c r="B35" s="4">
        <v>2</v>
      </c>
      <c r="C35" s="4" t="s">
        <v>16</v>
      </c>
      <c r="D35" s="33">
        <v>3295</v>
      </c>
      <c r="E35" s="12">
        <f t="shared" si="0"/>
        <v>3624.5000000000005</v>
      </c>
      <c r="F35" s="10">
        <f t="shared" si="1"/>
        <v>2</v>
      </c>
      <c r="G35" s="12">
        <f t="shared" si="2"/>
        <v>7249.0000000000009</v>
      </c>
      <c r="H35" s="37" t="str">
        <f t="shared" si="3"/>
        <v>2014-11-24-2-A</v>
      </c>
      <c r="I35" s="38">
        <f>VLOOKUP(H35,'Historical Shipments'!$D$2:$E$10000,2,FALSE)</f>
        <v>12482.2</v>
      </c>
      <c r="J35" s="10">
        <f t="shared" si="4"/>
        <v>13730.420000000002</v>
      </c>
      <c r="K35" s="12">
        <f t="shared" si="5"/>
        <v>20979.420000000002</v>
      </c>
      <c r="L35" s="39">
        <f t="array" ref="L35">INDEX('Carrier Rates'!$D$2:$D$1000, MATCH("X"&amp;"-"&amp;"A"&amp;"-"&amp;B35, 'Carrier Rates'!$E$2:$E$1000, 0))</f>
        <v>1640</v>
      </c>
      <c r="M35" s="13">
        <f t="array" ref="M35">INDEX('Carrier Rates'!$D$2:$D$1000, MATCH("Y"&amp;"-"&amp;"A"&amp;"-"&amp;B35, 'Carrier Rates'!$E$2:$E$1000, 0))</f>
        <v>7.0000000000000007E-2</v>
      </c>
      <c r="N35" s="11">
        <f t="shared" si="6"/>
        <v>1640</v>
      </c>
      <c r="O35" s="12">
        <f t="shared" si="7"/>
        <v>1468.5594000000003</v>
      </c>
      <c r="P35" s="12">
        <f t="shared" si="8"/>
        <v>1468.5594000000003</v>
      </c>
      <c r="Q35" s="37">
        <f t="shared" si="9"/>
        <v>0.8</v>
      </c>
      <c r="R35" s="12">
        <f t="shared" si="10"/>
        <v>2899.6000000000004</v>
      </c>
      <c r="S35" s="7"/>
      <c r="T35" s="7"/>
      <c r="U35" s="40">
        <f t="shared" si="11"/>
        <v>1640</v>
      </c>
      <c r="V35" s="43">
        <f t="shared" si="12"/>
        <v>961.12940000000026</v>
      </c>
      <c r="W35" s="42">
        <f t="shared" si="13"/>
        <v>961.12940000000026</v>
      </c>
      <c r="X35" s="7"/>
      <c r="Y35" s="7"/>
      <c r="Z35" s="7"/>
    </row>
    <row r="36" spans="1:26" ht="15.75" customHeight="1" x14ac:dyDescent="0.2">
      <c r="A36" s="32">
        <v>41974</v>
      </c>
      <c r="B36" s="4">
        <v>1</v>
      </c>
      <c r="C36" s="4" t="s">
        <v>16</v>
      </c>
      <c r="D36" s="33">
        <v>4937</v>
      </c>
      <c r="E36" s="12">
        <f t="shared" si="0"/>
        <v>5430.7000000000007</v>
      </c>
      <c r="F36" s="10">
        <f t="shared" si="1"/>
        <v>2</v>
      </c>
      <c r="G36" s="12">
        <f t="shared" si="2"/>
        <v>10861.400000000001</v>
      </c>
      <c r="H36" s="37" t="str">
        <f t="shared" si="3"/>
        <v>2014-12-01-1-A</v>
      </c>
      <c r="I36" s="38">
        <f>VLOOKUP(H36,'Historical Shipments'!$D$2:$E$10000,2,FALSE)</f>
        <v>16962.2</v>
      </c>
      <c r="J36" s="10">
        <f t="shared" si="4"/>
        <v>18658.420000000002</v>
      </c>
      <c r="K36" s="12">
        <f t="shared" si="5"/>
        <v>29519.820000000003</v>
      </c>
      <c r="L36" s="39">
        <f t="array" ref="L36">INDEX('Carrier Rates'!$D$2:$D$1000, MATCH("X"&amp;"-"&amp;"A"&amp;"-"&amp;B36, 'Carrier Rates'!$E$2:$E$1000, 0))</f>
        <v>2540</v>
      </c>
      <c r="M36" s="13">
        <f t="array" ref="M36">INDEX('Carrier Rates'!$D$2:$D$1000, MATCH("Y"&amp;"-"&amp;"A"&amp;"-"&amp;B36, 'Carrier Rates'!$E$2:$E$1000, 0))</f>
        <v>0.12</v>
      </c>
      <c r="N36" s="11">
        <f t="shared" si="6"/>
        <v>2540</v>
      </c>
      <c r="O36" s="12">
        <f t="shared" si="7"/>
        <v>3542.3784000000001</v>
      </c>
      <c r="P36" s="12">
        <f t="shared" si="8"/>
        <v>2540</v>
      </c>
      <c r="Q36" s="37">
        <f t="shared" si="9"/>
        <v>0.8</v>
      </c>
      <c r="R36" s="12">
        <f t="shared" si="10"/>
        <v>4344.5600000000004</v>
      </c>
      <c r="S36" s="7"/>
      <c r="T36" s="7"/>
      <c r="U36" s="40">
        <f t="shared" si="11"/>
        <v>2540</v>
      </c>
      <c r="V36" s="43">
        <f t="shared" si="12"/>
        <v>2239.0104000000001</v>
      </c>
      <c r="W36" s="42">
        <f t="shared" si="13"/>
        <v>2239.0104000000001</v>
      </c>
      <c r="X36" s="7"/>
      <c r="Y36" s="7"/>
      <c r="Z36" s="7"/>
    </row>
    <row r="37" spans="1:26" ht="15.75" customHeight="1" x14ac:dyDescent="0.2">
      <c r="A37" s="32">
        <v>41974</v>
      </c>
      <c r="B37" s="4">
        <v>2</v>
      </c>
      <c r="C37" s="4" t="s">
        <v>16</v>
      </c>
      <c r="D37" s="33">
        <v>4132</v>
      </c>
      <c r="E37" s="12">
        <f t="shared" si="0"/>
        <v>4545.2000000000007</v>
      </c>
      <c r="F37" s="10">
        <f t="shared" si="1"/>
        <v>2</v>
      </c>
      <c r="G37" s="12">
        <f t="shared" si="2"/>
        <v>9090.4000000000015</v>
      </c>
      <c r="H37" s="37" t="str">
        <f t="shared" si="3"/>
        <v>2014-12-01-2-A</v>
      </c>
      <c r="I37" s="38">
        <f>VLOOKUP(H37,'Historical Shipments'!$D$2:$E$10000,2,FALSE)</f>
        <v>16274.800000000001</v>
      </c>
      <c r="J37" s="10">
        <f t="shared" si="4"/>
        <v>17902.280000000002</v>
      </c>
      <c r="K37" s="12">
        <f t="shared" si="5"/>
        <v>26992.680000000004</v>
      </c>
      <c r="L37" s="39">
        <f t="array" ref="L37">INDEX('Carrier Rates'!$D$2:$D$1000, MATCH("X"&amp;"-"&amp;"A"&amp;"-"&amp;B37, 'Carrier Rates'!$E$2:$E$1000, 0))</f>
        <v>1640</v>
      </c>
      <c r="M37" s="13">
        <f t="array" ref="M37">INDEX('Carrier Rates'!$D$2:$D$1000, MATCH("Y"&amp;"-"&amp;"A"&amp;"-"&amp;B37, 'Carrier Rates'!$E$2:$E$1000, 0))</f>
        <v>7.0000000000000007E-2</v>
      </c>
      <c r="N37" s="11">
        <f t="shared" si="6"/>
        <v>1640</v>
      </c>
      <c r="O37" s="12">
        <f t="shared" si="7"/>
        <v>1889.4876000000004</v>
      </c>
      <c r="P37" s="12">
        <f t="shared" si="8"/>
        <v>1640</v>
      </c>
      <c r="Q37" s="37">
        <f t="shared" si="9"/>
        <v>0.8</v>
      </c>
      <c r="R37" s="12">
        <f t="shared" si="10"/>
        <v>3636.1600000000008</v>
      </c>
      <c r="S37" s="7"/>
      <c r="T37" s="7"/>
      <c r="U37" s="40">
        <f t="shared" si="11"/>
        <v>1640</v>
      </c>
      <c r="V37" s="43">
        <f t="shared" si="12"/>
        <v>1253.1596000000002</v>
      </c>
      <c r="W37" s="42">
        <f t="shared" si="13"/>
        <v>1253.1596000000002</v>
      </c>
      <c r="X37" s="7"/>
      <c r="Y37" s="7"/>
      <c r="Z37" s="7"/>
    </row>
    <row r="38" spans="1:26" ht="15.75" customHeight="1" x14ac:dyDescent="0.2">
      <c r="A38" s="32">
        <v>41981</v>
      </c>
      <c r="B38" s="4">
        <v>1</v>
      </c>
      <c r="C38" s="4" t="s">
        <v>16</v>
      </c>
      <c r="D38" s="33">
        <v>4361</v>
      </c>
      <c r="E38" s="12">
        <f t="shared" si="0"/>
        <v>4797.1000000000004</v>
      </c>
      <c r="F38" s="10">
        <f t="shared" si="1"/>
        <v>2</v>
      </c>
      <c r="G38" s="12">
        <f t="shared" si="2"/>
        <v>9594.2000000000007</v>
      </c>
      <c r="H38" s="37" t="str">
        <f t="shared" si="3"/>
        <v>2014-12-08-1-A</v>
      </c>
      <c r="I38" s="38">
        <f>VLOOKUP(H38,'Historical Shipments'!$D$2:$E$10000,2,FALSE)</f>
        <v>15174.2</v>
      </c>
      <c r="J38" s="10">
        <f t="shared" si="4"/>
        <v>16691.620000000003</v>
      </c>
      <c r="K38" s="12">
        <f t="shared" si="5"/>
        <v>26285.820000000003</v>
      </c>
      <c r="L38" s="39">
        <f t="array" ref="L38">INDEX('Carrier Rates'!$D$2:$D$1000, MATCH("X"&amp;"-"&amp;"A"&amp;"-"&amp;B38, 'Carrier Rates'!$E$2:$E$1000, 0))</f>
        <v>2540</v>
      </c>
      <c r="M38" s="13">
        <f t="array" ref="M38">INDEX('Carrier Rates'!$D$2:$D$1000, MATCH("Y"&amp;"-"&amp;"A"&amp;"-"&amp;B38, 'Carrier Rates'!$E$2:$E$1000, 0))</f>
        <v>0.12</v>
      </c>
      <c r="N38" s="11">
        <f t="shared" si="6"/>
        <v>2540</v>
      </c>
      <c r="O38" s="12">
        <f t="shared" si="7"/>
        <v>3154.2984000000001</v>
      </c>
      <c r="P38" s="12">
        <f t="shared" si="8"/>
        <v>2540</v>
      </c>
      <c r="Q38" s="37">
        <f t="shared" si="9"/>
        <v>0.8</v>
      </c>
      <c r="R38" s="12">
        <f t="shared" si="10"/>
        <v>3837.6800000000003</v>
      </c>
      <c r="S38" s="7"/>
      <c r="T38" s="7"/>
      <c r="U38" s="40">
        <f t="shared" si="11"/>
        <v>2540</v>
      </c>
      <c r="V38" s="43">
        <f t="shared" si="12"/>
        <v>2002.9944000000003</v>
      </c>
      <c r="W38" s="42">
        <f t="shared" si="13"/>
        <v>2002.9944000000003</v>
      </c>
      <c r="X38" s="7"/>
      <c r="Y38" s="7"/>
      <c r="Z38" s="7"/>
    </row>
    <row r="39" spans="1:26" ht="15.75" customHeight="1" x14ac:dyDescent="0.2">
      <c r="A39" s="32">
        <v>41981</v>
      </c>
      <c r="B39" s="4">
        <v>2</v>
      </c>
      <c r="C39" s="4" t="s">
        <v>16</v>
      </c>
      <c r="D39" s="33">
        <v>3325</v>
      </c>
      <c r="E39" s="12">
        <f t="shared" si="0"/>
        <v>3657.5000000000005</v>
      </c>
      <c r="F39" s="10">
        <f t="shared" si="1"/>
        <v>2</v>
      </c>
      <c r="G39" s="12">
        <f t="shared" si="2"/>
        <v>7315.0000000000009</v>
      </c>
      <c r="H39" s="37" t="str">
        <f t="shared" si="3"/>
        <v>2014-12-08-2-A</v>
      </c>
      <c r="I39" s="38">
        <f>VLOOKUP(H39,'Historical Shipments'!$D$2:$E$10000,2,FALSE)</f>
        <v>12098.2</v>
      </c>
      <c r="J39" s="10">
        <f t="shared" si="4"/>
        <v>13308.020000000002</v>
      </c>
      <c r="K39" s="12">
        <f t="shared" si="5"/>
        <v>20623.020000000004</v>
      </c>
      <c r="L39" s="39">
        <f t="array" ref="L39">INDEX('Carrier Rates'!$D$2:$D$1000, MATCH("X"&amp;"-"&amp;"A"&amp;"-"&amp;B39, 'Carrier Rates'!$E$2:$E$1000, 0))</f>
        <v>1640</v>
      </c>
      <c r="M39" s="13">
        <f t="array" ref="M39">INDEX('Carrier Rates'!$D$2:$D$1000, MATCH("Y"&amp;"-"&amp;"A"&amp;"-"&amp;B39, 'Carrier Rates'!$E$2:$E$1000, 0))</f>
        <v>7.0000000000000007E-2</v>
      </c>
      <c r="N39" s="11">
        <f t="shared" si="6"/>
        <v>1640</v>
      </c>
      <c r="O39" s="12">
        <f t="shared" si="7"/>
        <v>1443.6114000000005</v>
      </c>
      <c r="P39" s="12">
        <f t="shared" si="8"/>
        <v>1443.6114000000005</v>
      </c>
      <c r="Q39" s="37">
        <f t="shared" si="9"/>
        <v>0.8</v>
      </c>
      <c r="R39" s="12">
        <f t="shared" si="10"/>
        <v>2926.0000000000005</v>
      </c>
      <c r="S39" s="7"/>
      <c r="T39" s="7"/>
      <c r="U39" s="40">
        <f t="shared" si="11"/>
        <v>1640</v>
      </c>
      <c r="V39" s="43">
        <f t="shared" si="12"/>
        <v>931.56140000000028</v>
      </c>
      <c r="W39" s="42">
        <f t="shared" si="13"/>
        <v>931.56140000000028</v>
      </c>
      <c r="X39" s="7"/>
      <c r="Y39" s="7"/>
      <c r="Z39" s="7"/>
    </row>
    <row r="40" spans="1:26" ht="15.75" customHeight="1" x14ac:dyDescent="0.2">
      <c r="A40" s="32">
        <v>41988</v>
      </c>
      <c r="B40" s="4">
        <v>1</v>
      </c>
      <c r="C40" s="4" t="s">
        <v>16</v>
      </c>
      <c r="D40" s="33">
        <v>4569</v>
      </c>
      <c r="E40" s="12">
        <f t="shared" si="0"/>
        <v>5025.9000000000005</v>
      </c>
      <c r="F40" s="10">
        <f t="shared" si="1"/>
        <v>2</v>
      </c>
      <c r="G40" s="12">
        <f t="shared" si="2"/>
        <v>10051.800000000001</v>
      </c>
      <c r="H40" s="37" t="str">
        <f t="shared" si="3"/>
        <v>2014-12-15-1-A</v>
      </c>
      <c r="I40" s="38">
        <f>VLOOKUP(H40,'Historical Shipments'!$D$2:$E$10000,2,FALSE)</f>
        <v>17100.600000000002</v>
      </c>
      <c r="J40" s="10">
        <f t="shared" si="4"/>
        <v>18810.660000000003</v>
      </c>
      <c r="K40" s="12">
        <f t="shared" si="5"/>
        <v>28862.460000000006</v>
      </c>
      <c r="L40" s="39">
        <f t="array" ref="L40">INDEX('Carrier Rates'!$D$2:$D$1000, MATCH("X"&amp;"-"&amp;"A"&amp;"-"&amp;B40, 'Carrier Rates'!$E$2:$E$1000, 0))</f>
        <v>2540</v>
      </c>
      <c r="M40" s="13">
        <f t="array" ref="M40">INDEX('Carrier Rates'!$D$2:$D$1000, MATCH("Y"&amp;"-"&amp;"A"&amp;"-"&amp;B40, 'Carrier Rates'!$E$2:$E$1000, 0))</f>
        <v>0.12</v>
      </c>
      <c r="N40" s="11">
        <f t="shared" si="6"/>
        <v>2540</v>
      </c>
      <c r="O40" s="12">
        <f t="shared" si="7"/>
        <v>3463.4952000000008</v>
      </c>
      <c r="P40" s="12">
        <f t="shared" si="8"/>
        <v>2540</v>
      </c>
      <c r="Q40" s="37">
        <f t="shared" si="9"/>
        <v>0.8</v>
      </c>
      <c r="R40" s="12">
        <f t="shared" si="10"/>
        <v>4020.7200000000007</v>
      </c>
      <c r="S40" s="7"/>
      <c r="T40" s="7"/>
      <c r="U40" s="40">
        <f t="shared" si="11"/>
        <v>2540</v>
      </c>
      <c r="V40" s="43">
        <f t="shared" si="12"/>
        <v>2257.2792000000004</v>
      </c>
      <c r="W40" s="42">
        <f t="shared" si="13"/>
        <v>2257.2792000000004</v>
      </c>
      <c r="X40" s="7"/>
      <c r="Y40" s="7"/>
      <c r="Z40" s="7"/>
    </row>
    <row r="41" spans="1:26" ht="15.75" customHeight="1" x14ac:dyDescent="0.2">
      <c r="A41" s="32">
        <v>41988</v>
      </c>
      <c r="B41" s="4">
        <v>2</v>
      </c>
      <c r="C41" s="4" t="s">
        <v>16</v>
      </c>
      <c r="D41" s="33">
        <v>3508</v>
      </c>
      <c r="E41" s="12">
        <f t="shared" si="0"/>
        <v>3858.8</v>
      </c>
      <c r="F41" s="10">
        <f t="shared" si="1"/>
        <v>2</v>
      </c>
      <c r="G41" s="12">
        <f t="shared" si="2"/>
        <v>7717.6</v>
      </c>
      <c r="H41" s="37" t="str">
        <f t="shared" si="3"/>
        <v>2014-12-15-2-A</v>
      </c>
      <c r="I41" s="38">
        <f>VLOOKUP(H41,'Historical Shipments'!$D$2:$E$10000,2,FALSE)</f>
        <v>14449.6</v>
      </c>
      <c r="J41" s="10">
        <f t="shared" si="4"/>
        <v>15894.560000000001</v>
      </c>
      <c r="K41" s="12">
        <f t="shared" si="5"/>
        <v>23612.160000000003</v>
      </c>
      <c r="L41" s="39">
        <f t="array" ref="L41">INDEX('Carrier Rates'!$D$2:$D$1000, MATCH("X"&amp;"-"&amp;"A"&amp;"-"&amp;B41, 'Carrier Rates'!$E$2:$E$1000, 0))</f>
        <v>1640</v>
      </c>
      <c r="M41" s="13">
        <f t="array" ref="M41">INDEX('Carrier Rates'!$D$2:$D$1000, MATCH("Y"&amp;"-"&amp;"A"&amp;"-"&amp;B41, 'Carrier Rates'!$E$2:$E$1000, 0))</f>
        <v>7.0000000000000007E-2</v>
      </c>
      <c r="N41" s="11">
        <f t="shared" si="6"/>
        <v>1640</v>
      </c>
      <c r="O41" s="12">
        <f t="shared" si="7"/>
        <v>1652.8512000000003</v>
      </c>
      <c r="P41" s="12">
        <f t="shared" si="8"/>
        <v>1640</v>
      </c>
      <c r="Q41" s="37">
        <f t="shared" si="9"/>
        <v>0.8</v>
      </c>
      <c r="R41" s="12">
        <f t="shared" si="10"/>
        <v>3087.0400000000004</v>
      </c>
      <c r="S41" s="7"/>
      <c r="T41" s="7"/>
      <c r="U41" s="40">
        <f t="shared" si="11"/>
        <v>1640</v>
      </c>
      <c r="V41" s="43">
        <f t="shared" si="12"/>
        <v>1112.6192000000001</v>
      </c>
      <c r="W41" s="42">
        <f t="shared" si="13"/>
        <v>1112.6192000000001</v>
      </c>
      <c r="X41" s="7"/>
      <c r="Y41" s="7"/>
      <c r="Z41" s="7"/>
    </row>
    <row r="42" spans="1:26" ht="15.75" customHeight="1" x14ac:dyDescent="0.2">
      <c r="A42" s="32">
        <v>41995</v>
      </c>
      <c r="B42" s="4">
        <v>1</v>
      </c>
      <c r="C42" s="4" t="s">
        <v>16</v>
      </c>
      <c r="D42" s="33">
        <v>4301</v>
      </c>
      <c r="E42" s="12">
        <f t="shared" si="0"/>
        <v>4731.1000000000004</v>
      </c>
      <c r="F42" s="10">
        <f t="shared" si="1"/>
        <v>2</v>
      </c>
      <c r="G42" s="12">
        <f t="shared" si="2"/>
        <v>9462.2000000000007</v>
      </c>
      <c r="H42" s="37" t="str">
        <f t="shared" si="3"/>
        <v>2014-12-22-1-A</v>
      </c>
      <c r="I42" s="38">
        <f>VLOOKUP(H42,'Historical Shipments'!$D$2:$E$10000,2,FALSE)</f>
        <v>16616.599999999999</v>
      </c>
      <c r="J42" s="10">
        <f t="shared" si="4"/>
        <v>18278.259999999998</v>
      </c>
      <c r="K42" s="12">
        <f t="shared" si="5"/>
        <v>27740.46</v>
      </c>
      <c r="L42" s="39">
        <f t="array" ref="L42">INDEX('Carrier Rates'!$D$2:$D$1000, MATCH("X"&amp;"-"&amp;"A"&amp;"-"&amp;B42, 'Carrier Rates'!$E$2:$E$1000, 0))</f>
        <v>2540</v>
      </c>
      <c r="M42" s="13">
        <f t="array" ref="M42">INDEX('Carrier Rates'!$D$2:$D$1000, MATCH("Y"&amp;"-"&amp;"A"&amp;"-"&amp;B42, 'Carrier Rates'!$E$2:$E$1000, 0))</f>
        <v>0.12</v>
      </c>
      <c r="N42" s="11">
        <f t="shared" si="6"/>
        <v>2540</v>
      </c>
      <c r="O42" s="12">
        <f t="shared" si="7"/>
        <v>3328.8552</v>
      </c>
      <c r="P42" s="12">
        <f t="shared" si="8"/>
        <v>2540</v>
      </c>
      <c r="Q42" s="37">
        <f t="shared" si="9"/>
        <v>0.8</v>
      </c>
      <c r="R42" s="12">
        <f t="shared" si="10"/>
        <v>3784.8800000000006</v>
      </c>
      <c r="S42" s="7"/>
      <c r="T42" s="7"/>
      <c r="U42" s="40">
        <f t="shared" si="11"/>
        <v>2540</v>
      </c>
      <c r="V42" s="43">
        <f t="shared" si="12"/>
        <v>2193.3911999999996</v>
      </c>
      <c r="W42" s="42">
        <f t="shared" si="13"/>
        <v>2193.3911999999996</v>
      </c>
      <c r="X42" s="7"/>
      <c r="Y42" s="7"/>
      <c r="Z42" s="7"/>
    </row>
    <row r="43" spans="1:26" ht="15.75" customHeight="1" x14ac:dyDescent="0.2">
      <c r="A43" s="32">
        <v>41995</v>
      </c>
      <c r="B43" s="4">
        <v>2</v>
      </c>
      <c r="C43" s="4" t="s">
        <v>16</v>
      </c>
      <c r="D43" s="33">
        <v>3558</v>
      </c>
      <c r="E43" s="12">
        <f t="shared" si="0"/>
        <v>3913.8</v>
      </c>
      <c r="F43" s="10">
        <f t="shared" si="1"/>
        <v>2</v>
      </c>
      <c r="G43" s="12">
        <f t="shared" si="2"/>
        <v>7827.6</v>
      </c>
      <c r="H43" s="37" t="str">
        <f t="shared" si="3"/>
        <v>2014-12-22-2-A</v>
      </c>
      <c r="I43" s="38">
        <f>VLOOKUP(H43,'Historical Shipments'!$D$2:$E$10000,2,FALSE)</f>
        <v>16339.2</v>
      </c>
      <c r="J43" s="10">
        <f t="shared" si="4"/>
        <v>17973.120000000003</v>
      </c>
      <c r="K43" s="12">
        <f t="shared" si="5"/>
        <v>25800.720000000001</v>
      </c>
      <c r="L43" s="39">
        <f t="array" ref="L43">INDEX('Carrier Rates'!$D$2:$D$1000, MATCH("X"&amp;"-"&amp;"A"&amp;"-"&amp;B43, 'Carrier Rates'!$E$2:$E$1000, 0))</f>
        <v>1640</v>
      </c>
      <c r="M43" s="13">
        <f t="array" ref="M43">INDEX('Carrier Rates'!$D$2:$D$1000, MATCH("Y"&amp;"-"&amp;"A"&amp;"-"&amp;B43, 'Carrier Rates'!$E$2:$E$1000, 0))</f>
        <v>7.0000000000000007E-2</v>
      </c>
      <c r="N43" s="11">
        <f t="shared" si="6"/>
        <v>1640</v>
      </c>
      <c r="O43" s="12">
        <f t="shared" si="7"/>
        <v>1806.0504000000003</v>
      </c>
      <c r="P43" s="12">
        <f t="shared" si="8"/>
        <v>1640</v>
      </c>
      <c r="Q43" s="37">
        <f t="shared" si="9"/>
        <v>0.8</v>
      </c>
      <c r="R43" s="12">
        <f t="shared" si="10"/>
        <v>3131.0400000000004</v>
      </c>
      <c r="S43" s="7"/>
      <c r="T43" s="7"/>
      <c r="U43" s="40">
        <f t="shared" si="11"/>
        <v>1640</v>
      </c>
      <c r="V43" s="43">
        <f t="shared" si="12"/>
        <v>1258.1184000000003</v>
      </c>
      <c r="W43" s="42">
        <f t="shared" si="13"/>
        <v>1258.1184000000003</v>
      </c>
      <c r="X43" s="7"/>
      <c r="Y43" s="7"/>
      <c r="Z43" s="7"/>
    </row>
    <row r="44" spans="1:26" ht="15.75" customHeight="1" x14ac:dyDescent="0.2">
      <c r="A44" s="32">
        <v>42002</v>
      </c>
      <c r="B44" s="4">
        <v>1</v>
      </c>
      <c r="C44" s="4" t="s">
        <v>16</v>
      </c>
      <c r="D44" s="33">
        <v>5106</v>
      </c>
      <c r="E44" s="12">
        <f t="shared" si="0"/>
        <v>5616.6</v>
      </c>
      <c r="F44" s="10">
        <f t="shared" si="1"/>
        <v>2</v>
      </c>
      <c r="G44" s="12">
        <f t="shared" si="2"/>
        <v>11233.2</v>
      </c>
      <c r="H44" s="37" t="str">
        <f t="shared" si="3"/>
        <v>2014-12-29-1-A</v>
      </c>
      <c r="I44" s="38">
        <f>VLOOKUP(H44,'Historical Shipments'!$D$2:$E$10000,2,FALSE)</f>
        <v>19059.599999999999</v>
      </c>
      <c r="J44" s="10">
        <f t="shared" si="4"/>
        <v>20965.560000000001</v>
      </c>
      <c r="K44" s="12">
        <f t="shared" si="5"/>
        <v>32198.760000000002</v>
      </c>
      <c r="L44" s="39">
        <f t="array" ref="L44">INDEX('Carrier Rates'!$D$2:$D$1000, MATCH("X"&amp;"-"&amp;"A"&amp;"-"&amp;B44, 'Carrier Rates'!$E$2:$E$1000, 0))</f>
        <v>2540</v>
      </c>
      <c r="M44" s="13">
        <f t="array" ref="M44">INDEX('Carrier Rates'!$D$2:$D$1000, MATCH("Y"&amp;"-"&amp;"A"&amp;"-"&amp;B44, 'Carrier Rates'!$E$2:$E$1000, 0))</f>
        <v>0.12</v>
      </c>
      <c r="N44" s="11">
        <f t="shared" si="6"/>
        <v>2540</v>
      </c>
      <c r="O44" s="12">
        <f t="shared" si="7"/>
        <v>3863.8512000000001</v>
      </c>
      <c r="P44" s="12">
        <f t="shared" si="8"/>
        <v>2540</v>
      </c>
      <c r="Q44" s="37">
        <f t="shared" si="9"/>
        <v>0.8</v>
      </c>
      <c r="R44" s="12">
        <f t="shared" si="10"/>
        <v>4493.2800000000007</v>
      </c>
      <c r="S44" s="7"/>
      <c r="T44" s="7"/>
      <c r="U44" s="40">
        <f t="shared" si="11"/>
        <v>2540</v>
      </c>
      <c r="V44" s="43">
        <f t="shared" si="12"/>
        <v>2515.8672000000001</v>
      </c>
      <c r="W44" s="42">
        <f t="shared" si="13"/>
        <v>2515.8672000000001</v>
      </c>
      <c r="X44" s="7"/>
      <c r="Y44" s="7"/>
      <c r="Z44" s="7"/>
    </row>
    <row r="45" spans="1:26" ht="15.75" customHeight="1" x14ac:dyDescent="0.2">
      <c r="A45" s="32">
        <v>42002</v>
      </c>
      <c r="B45" s="4">
        <v>2</v>
      </c>
      <c r="C45" s="4" t="s">
        <v>16</v>
      </c>
      <c r="D45" s="33">
        <v>4294</v>
      </c>
      <c r="E45" s="12">
        <f t="shared" si="0"/>
        <v>4723.4000000000005</v>
      </c>
      <c r="F45" s="10">
        <f t="shared" si="1"/>
        <v>2</v>
      </c>
      <c r="G45" s="12">
        <f t="shared" si="2"/>
        <v>9446.8000000000011</v>
      </c>
      <c r="H45" s="37" t="str">
        <f t="shared" si="3"/>
        <v>2014-12-29-2-A</v>
      </c>
      <c r="I45" s="38">
        <f>VLOOKUP(H45,'Historical Shipments'!$D$2:$E$10000,2,FALSE)</f>
        <v>18894.400000000001</v>
      </c>
      <c r="J45" s="10">
        <f t="shared" si="4"/>
        <v>20783.840000000004</v>
      </c>
      <c r="K45" s="12">
        <f t="shared" si="5"/>
        <v>30230.640000000007</v>
      </c>
      <c r="L45" s="39">
        <f t="array" ref="L45">INDEX('Carrier Rates'!$D$2:$D$1000, MATCH("X"&amp;"-"&amp;"A"&amp;"-"&amp;B45, 'Carrier Rates'!$E$2:$E$1000, 0))</f>
        <v>1640</v>
      </c>
      <c r="M45" s="13">
        <f t="array" ref="M45">INDEX('Carrier Rates'!$D$2:$D$1000, MATCH("Y"&amp;"-"&amp;"A"&amp;"-"&amp;B45, 'Carrier Rates'!$E$2:$E$1000, 0))</f>
        <v>7.0000000000000007E-2</v>
      </c>
      <c r="N45" s="11">
        <f t="shared" si="6"/>
        <v>1640</v>
      </c>
      <c r="O45" s="12">
        <f t="shared" si="7"/>
        <v>2116.1448000000005</v>
      </c>
      <c r="P45" s="12">
        <f t="shared" si="8"/>
        <v>1640</v>
      </c>
      <c r="Q45" s="37">
        <f t="shared" si="9"/>
        <v>0.8</v>
      </c>
      <c r="R45" s="12">
        <f t="shared" si="10"/>
        <v>3778.7200000000007</v>
      </c>
      <c r="S45" s="7"/>
      <c r="T45" s="7"/>
      <c r="U45" s="40">
        <f t="shared" si="11"/>
        <v>1640</v>
      </c>
      <c r="V45" s="43">
        <f t="shared" si="12"/>
        <v>1454.8688000000004</v>
      </c>
      <c r="W45" s="42">
        <f t="shared" si="13"/>
        <v>1454.8688000000004</v>
      </c>
      <c r="X45" s="7"/>
      <c r="Y45" s="7"/>
      <c r="Z45" s="7"/>
    </row>
    <row r="46" spans="1:26" ht="15.75" customHeight="1" x14ac:dyDescent="0.2">
      <c r="A46" s="32">
        <v>42009</v>
      </c>
      <c r="B46" s="4">
        <v>1</v>
      </c>
      <c r="C46" s="4" t="s">
        <v>16</v>
      </c>
      <c r="D46" s="33">
        <v>4702</v>
      </c>
      <c r="E46" s="12">
        <f t="shared" si="0"/>
        <v>5172.2000000000007</v>
      </c>
      <c r="F46" s="10">
        <f t="shared" si="1"/>
        <v>2</v>
      </c>
      <c r="G46" s="12">
        <f t="shared" si="2"/>
        <v>10344.400000000001</v>
      </c>
      <c r="H46" s="37" t="str">
        <f t="shared" si="3"/>
        <v>2015-01-05-1-A</v>
      </c>
      <c r="I46" s="38">
        <f>VLOOKUP(H46,'Historical Shipments'!$D$2:$E$10000,2,FALSE)</f>
        <v>17004.400000000001</v>
      </c>
      <c r="J46" s="10">
        <f t="shared" si="4"/>
        <v>18704.840000000004</v>
      </c>
      <c r="K46" s="12">
        <f t="shared" si="5"/>
        <v>29049.240000000005</v>
      </c>
      <c r="L46" s="39">
        <f t="array" ref="L46">INDEX('Carrier Rates'!$D$2:$D$1000, MATCH("X"&amp;"-"&amp;"A"&amp;"-"&amp;B46, 'Carrier Rates'!$E$2:$E$1000, 0))</f>
        <v>2540</v>
      </c>
      <c r="M46" s="13">
        <f t="array" ref="M46">INDEX('Carrier Rates'!$D$2:$D$1000, MATCH("Y"&amp;"-"&amp;"A"&amp;"-"&amp;B46, 'Carrier Rates'!$E$2:$E$1000, 0))</f>
        <v>0.12</v>
      </c>
      <c r="N46" s="11">
        <f t="shared" si="6"/>
        <v>2540</v>
      </c>
      <c r="O46" s="12">
        <f t="shared" si="7"/>
        <v>3485.9088000000006</v>
      </c>
      <c r="P46" s="12">
        <f t="shared" si="8"/>
        <v>2540</v>
      </c>
      <c r="Q46" s="37">
        <f t="shared" si="9"/>
        <v>0.8</v>
      </c>
      <c r="R46" s="12">
        <f t="shared" si="10"/>
        <v>4137.7600000000011</v>
      </c>
      <c r="S46" s="7"/>
      <c r="T46" s="7"/>
      <c r="U46" s="40">
        <f t="shared" si="11"/>
        <v>2540</v>
      </c>
      <c r="V46" s="43">
        <f t="shared" si="12"/>
        <v>2244.5808000000002</v>
      </c>
      <c r="W46" s="42">
        <f t="shared" si="13"/>
        <v>2244.5808000000002</v>
      </c>
      <c r="X46" s="7"/>
      <c r="Y46" s="7"/>
      <c r="Z46" s="7"/>
    </row>
    <row r="47" spans="1:26" ht="15.75" customHeight="1" x14ac:dyDescent="0.2">
      <c r="A47" s="32">
        <v>42009</v>
      </c>
      <c r="B47" s="4">
        <v>2</v>
      </c>
      <c r="C47" s="4" t="s">
        <v>16</v>
      </c>
      <c r="D47" s="33">
        <v>3319</v>
      </c>
      <c r="E47" s="12">
        <f t="shared" si="0"/>
        <v>3650.9</v>
      </c>
      <c r="F47" s="10">
        <f t="shared" si="1"/>
        <v>2</v>
      </c>
      <c r="G47" s="12">
        <f t="shared" si="2"/>
        <v>7301.8</v>
      </c>
      <c r="H47" s="37" t="str">
        <f t="shared" si="3"/>
        <v>2015-01-05-2-A</v>
      </c>
      <c r="I47" s="38">
        <f>VLOOKUP(H47,'Historical Shipments'!$D$2:$E$10000,2,FALSE)</f>
        <v>14337.4</v>
      </c>
      <c r="J47" s="10">
        <f t="shared" si="4"/>
        <v>15771.140000000001</v>
      </c>
      <c r="K47" s="12">
        <f t="shared" si="5"/>
        <v>23072.940000000002</v>
      </c>
      <c r="L47" s="39">
        <f t="array" ref="L47">INDEX('Carrier Rates'!$D$2:$D$1000, MATCH("X"&amp;"-"&amp;"A"&amp;"-"&amp;B47, 'Carrier Rates'!$E$2:$E$1000, 0))</f>
        <v>1640</v>
      </c>
      <c r="M47" s="13">
        <f t="array" ref="M47">INDEX('Carrier Rates'!$D$2:$D$1000, MATCH("Y"&amp;"-"&amp;"A"&amp;"-"&amp;B47, 'Carrier Rates'!$E$2:$E$1000, 0))</f>
        <v>7.0000000000000007E-2</v>
      </c>
      <c r="N47" s="11">
        <f t="shared" si="6"/>
        <v>1640</v>
      </c>
      <c r="O47" s="12">
        <f t="shared" si="7"/>
        <v>1615.1058000000003</v>
      </c>
      <c r="P47" s="12">
        <f t="shared" si="8"/>
        <v>1615.1058000000003</v>
      </c>
      <c r="Q47" s="37">
        <f t="shared" si="9"/>
        <v>0.8</v>
      </c>
      <c r="R47" s="12">
        <f t="shared" si="10"/>
        <v>2920.7200000000003</v>
      </c>
      <c r="S47" s="7"/>
      <c r="T47" s="7"/>
      <c r="U47" s="40">
        <f t="shared" si="11"/>
        <v>1640</v>
      </c>
      <c r="V47" s="43">
        <f t="shared" si="12"/>
        <v>1103.9798000000003</v>
      </c>
      <c r="W47" s="42">
        <f t="shared" si="13"/>
        <v>1103.9798000000003</v>
      </c>
      <c r="X47" s="7"/>
      <c r="Y47" s="7"/>
      <c r="Z47" s="7"/>
    </row>
    <row r="48" spans="1:26" ht="15.75" customHeight="1" x14ac:dyDescent="0.2">
      <c r="A48" s="32">
        <v>42016</v>
      </c>
      <c r="B48" s="4">
        <v>1</v>
      </c>
      <c r="C48" s="4" t="s">
        <v>16</v>
      </c>
      <c r="D48" s="33">
        <v>4031</v>
      </c>
      <c r="E48" s="12">
        <f t="shared" si="0"/>
        <v>4434.1000000000004</v>
      </c>
      <c r="F48" s="10">
        <f t="shared" si="1"/>
        <v>2</v>
      </c>
      <c r="G48" s="12">
        <f t="shared" si="2"/>
        <v>8868.2000000000007</v>
      </c>
      <c r="H48" s="37" t="str">
        <f t="shared" si="3"/>
        <v>2015-01-12-1-A</v>
      </c>
      <c r="I48" s="38">
        <f>VLOOKUP(H48,'Historical Shipments'!$D$2:$E$10000,2,FALSE)</f>
        <v>13920.2</v>
      </c>
      <c r="J48" s="10">
        <f t="shared" si="4"/>
        <v>15312.220000000001</v>
      </c>
      <c r="K48" s="12">
        <f t="shared" si="5"/>
        <v>24180.420000000002</v>
      </c>
      <c r="L48" s="39">
        <f t="array" ref="L48">INDEX('Carrier Rates'!$D$2:$D$1000, MATCH("X"&amp;"-"&amp;"A"&amp;"-"&amp;B48, 'Carrier Rates'!$E$2:$E$1000, 0))</f>
        <v>2540</v>
      </c>
      <c r="M48" s="13">
        <f t="array" ref="M48">INDEX('Carrier Rates'!$D$2:$D$1000, MATCH("Y"&amp;"-"&amp;"A"&amp;"-"&amp;B48, 'Carrier Rates'!$E$2:$E$1000, 0))</f>
        <v>0.12</v>
      </c>
      <c r="N48" s="11">
        <f t="shared" si="6"/>
        <v>2540</v>
      </c>
      <c r="O48" s="12">
        <f t="shared" si="7"/>
        <v>2901.6504</v>
      </c>
      <c r="P48" s="12">
        <f t="shared" si="8"/>
        <v>2540</v>
      </c>
      <c r="Q48" s="37">
        <f t="shared" si="9"/>
        <v>0.8</v>
      </c>
      <c r="R48" s="12">
        <f t="shared" si="10"/>
        <v>3547.2800000000007</v>
      </c>
      <c r="S48" s="7"/>
      <c r="T48" s="7"/>
      <c r="U48" s="40">
        <f t="shared" si="11"/>
        <v>2540</v>
      </c>
      <c r="V48" s="43">
        <f t="shared" si="12"/>
        <v>1837.4664</v>
      </c>
      <c r="W48" s="42">
        <f t="shared" si="13"/>
        <v>1837.4664</v>
      </c>
      <c r="X48" s="7"/>
      <c r="Y48" s="7"/>
      <c r="Z48" s="7"/>
    </row>
    <row r="49" spans="1:26" ht="15.75" customHeight="1" x14ac:dyDescent="0.2">
      <c r="A49" s="32">
        <v>42016</v>
      </c>
      <c r="B49" s="4">
        <v>2</v>
      </c>
      <c r="C49" s="4" t="s">
        <v>16</v>
      </c>
      <c r="D49" s="33">
        <v>3024</v>
      </c>
      <c r="E49" s="12">
        <f t="shared" si="0"/>
        <v>3326.4</v>
      </c>
      <c r="F49" s="10">
        <f t="shared" si="1"/>
        <v>2</v>
      </c>
      <c r="G49" s="12">
        <f t="shared" si="2"/>
        <v>6652.8</v>
      </c>
      <c r="H49" s="37" t="str">
        <f t="shared" si="3"/>
        <v>2015-01-12-2-A</v>
      </c>
      <c r="I49" s="38">
        <f>VLOOKUP(H49,'Historical Shipments'!$D$2:$E$10000,2,FALSE)</f>
        <v>10744.8</v>
      </c>
      <c r="J49" s="10">
        <f t="shared" si="4"/>
        <v>11819.28</v>
      </c>
      <c r="K49" s="12">
        <f t="shared" si="5"/>
        <v>18472.080000000002</v>
      </c>
      <c r="L49" s="39">
        <f t="array" ref="L49">INDEX('Carrier Rates'!$D$2:$D$1000, MATCH("X"&amp;"-"&amp;"A"&amp;"-"&amp;B49, 'Carrier Rates'!$E$2:$E$1000, 0))</f>
        <v>1640</v>
      </c>
      <c r="M49" s="13">
        <f t="array" ref="M49">INDEX('Carrier Rates'!$D$2:$D$1000, MATCH("Y"&amp;"-"&amp;"A"&amp;"-"&amp;B49, 'Carrier Rates'!$E$2:$E$1000, 0))</f>
        <v>7.0000000000000007E-2</v>
      </c>
      <c r="N49" s="11">
        <f t="shared" si="6"/>
        <v>1640</v>
      </c>
      <c r="O49" s="12">
        <f t="shared" si="7"/>
        <v>1293.0456000000001</v>
      </c>
      <c r="P49" s="12">
        <f t="shared" si="8"/>
        <v>1293.0456000000001</v>
      </c>
      <c r="Q49" s="37">
        <f t="shared" si="9"/>
        <v>0.8</v>
      </c>
      <c r="R49" s="12">
        <f t="shared" si="10"/>
        <v>2661.1200000000003</v>
      </c>
      <c r="S49" s="7"/>
      <c r="T49" s="7"/>
      <c r="U49" s="40">
        <f t="shared" si="11"/>
        <v>1640</v>
      </c>
      <c r="V49" s="43">
        <f t="shared" si="12"/>
        <v>827.34960000000012</v>
      </c>
      <c r="W49" s="42">
        <f t="shared" si="13"/>
        <v>827.34960000000012</v>
      </c>
      <c r="X49" s="7"/>
      <c r="Y49" s="7"/>
      <c r="Z49" s="7"/>
    </row>
    <row r="50" spans="1:26" ht="15.75" customHeight="1" x14ac:dyDescent="0.2">
      <c r="A50" s="32">
        <v>42023</v>
      </c>
      <c r="B50" s="4">
        <v>1</v>
      </c>
      <c r="C50" s="4" t="s">
        <v>16</v>
      </c>
      <c r="D50" s="33">
        <v>4338</v>
      </c>
      <c r="E50" s="12">
        <f t="shared" si="0"/>
        <v>4771.8</v>
      </c>
      <c r="F50" s="10">
        <f t="shared" si="1"/>
        <v>2</v>
      </c>
      <c r="G50" s="12">
        <f t="shared" si="2"/>
        <v>9543.6</v>
      </c>
      <c r="H50" s="37" t="str">
        <f t="shared" si="3"/>
        <v>2015-01-19-1-A</v>
      </c>
      <c r="I50" s="38">
        <f>VLOOKUP(H50,'Historical Shipments'!$D$2:$E$10000,2,FALSE)</f>
        <v>14616</v>
      </c>
      <c r="J50" s="10">
        <f t="shared" si="4"/>
        <v>16077.600000000002</v>
      </c>
      <c r="K50" s="12">
        <f t="shared" si="5"/>
        <v>25621.200000000004</v>
      </c>
      <c r="L50" s="39">
        <f t="array" ref="L50">INDEX('Carrier Rates'!$D$2:$D$1000, MATCH("X"&amp;"-"&amp;"A"&amp;"-"&amp;B50, 'Carrier Rates'!$E$2:$E$1000, 0))</f>
        <v>2540</v>
      </c>
      <c r="M50" s="13">
        <f t="array" ref="M50">INDEX('Carrier Rates'!$D$2:$D$1000, MATCH("Y"&amp;"-"&amp;"A"&amp;"-"&amp;B50, 'Carrier Rates'!$E$2:$E$1000, 0))</f>
        <v>0.12</v>
      </c>
      <c r="N50" s="11">
        <f t="shared" si="6"/>
        <v>2540</v>
      </c>
      <c r="O50" s="12">
        <f t="shared" si="7"/>
        <v>3074.5440000000003</v>
      </c>
      <c r="P50" s="12">
        <f t="shared" si="8"/>
        <v>2540</v>
      </c>
      <c r="Q50" s="37">
        <f t="shared" si="9"/>
        <v>0.8</v>
      </c>
      <c r="R50" s="12">
        <f t="shared" si="10"/>
        <v>3817.4400000000005</v>
      </c>
      <c r="S50" s="7"/>
      <c r="T50" s="7"/>
      <c r="U50" s="40">
        <f t="shared" si="11"/>
        <v>2540</v>
      </c>
      <c r="V50" s="43">
        <f t="shared" si="12"/>
        <v>1929.3120000000001</v>
      </c>
      <c r="W50" s="42">
        <f t="shared" si="13"/>
        <v>1929.3120000000001</v>
      </c>
      <c r="X50" s="7"/>
      <c r="Y50" s="7"/>
      <c r="Z50" s="7"/>
    </row>
    <row r="51" spans="1:26" ht="15.75" customHeight="1" x14ac:dyDescent="0.2">
      <c r="A51" s="32">
        <v>42023</v>
      </c>
      <c r="B51" s="4">
        <v>2</v>
      </c>
      <c r="C51" s="4" t="s">
        <v>16</v>
      </c>
      <c r="D51" s="33">
        <v>2688</v>
      </c>
      <c r="E51" s="12">
        <f t="shared" si="0"/>
        <v>2956.8</v>
      </c>
      <c r="F51" s="10">
        <f t="shared" si="1"/>
        <v>2</v>
      </c>
      <c r="G51" s="12">
        <f t="shared" si="2"/>
        <v>5913.6</v>
      </c>
      <c r="H51" s="37" t="str">
        <f t="shared" si="3"/>
        <v>2015-01-19-2-A</v>
      </c>
      <c r="I51" s="38">
        <f>VLOOKUP(H51,'Historical Shipments'!$D$2:$E$10000,2,FALSE)</f>
        <v>11748</v>
      </c>
      <c r="J51" s="10">
        <f t="shared" si="4"/>
        <v>12922.800000000001</v>
      </c>
      <c r="K51" s="12">
        <f t="shared" si="5"/>
        <v>18836.400000000001</v>
      </c>
      <c r="L51" s="39">
        <f t="array" ref="L51">INDEX('Carrier Rates'!$D$2:$D$1000, MATCH("X"&amp;"-"&amp;"A"&amp;"-"&amp;B51, 'Carrier Rates'!$E$2:$E$1000, 0))</f>
        <v>1640</v>
      </c>
      <c r="M51" s="13">
        <f t="array" ref="M51">INDEX('Carrier Rates'!$D$2:$D$1000, MATCH("Y"&amp;"-"&amp;"A"&amp;"-"&amp;B51, 'Carrier Rates'!$E$2:$E$1000, 0))</f>
        <v>7.0000000000000007E-2</v>
      </c>
      <c r="N51" s="11">
        <f t="shared" si="6"/>
        <v>1640</v>
      </c>
      <c r="O51" s="12">
        <f t="shared" si="7"/>
        <v>1318.5480000000002</v>
      </c>
      <c r="P51" s="12">
        <f t="shared" si="8"/>
        <v>1318.5480000000002</v>
      </c>
      <c r="Q51" s="37">
        <f t="shared" si="9"/>
        <v>0.8</v>
      </c>
      <c r="R51" s="12">
        <f t="shared" si="10"/>
        <v>2365.44</v>
      </c>
      <c r="S51" s="7"/>
      <c r="T51" s="7"/>
      <c r="U51" s="40">
        <f t="shared" si="11"/>
        <v>1640</v>
      </c>
      <c r="V51" s="43">
        <f t="shared" si="12"/>
        <v>904.59600000000012</v>
      </c>
      <c r="W51" s="42">
        <f t="shared" si="13"/>
        <v>904.59600000000012</v>
      </c>
      <c r="X51" s="7"/>
      <c r="Y51" s="7"/>
      <c r="Z51" s="7"/>
    </row>
    <row r="52" spans="1:26" ht="15.75" customHeight="1" x14ac:dyDescent="0.2">
      <c r="A52" s="32">
        <v>42030</v>
      </c>
      <c r="B52" s="4">
        <v>1</v>
      </c>
      <c r="C52" s="4" t="s">
        <v>16</v>
      </c>
      <c r="D52" s="33">
        <v>4495</v>
      </c>
      <c r="E52" s="12">
        <f t="shared" si="0"/>
        <v>4944.5</v>
      </c>
      <c r="F52" s="10">
        <f t="shared" si="1"/>
        <v>2</v>
      </c>
      <c r="G52" s="12">
        <f t="shared" si="2"/>
        <v>9889</v>
      </c>
      <c r="H52" s="37" t="str">
        <f t="shared" si="3"/>
        <v>2015-01-26-1-A</v>
      </c>
      <c r="I52" s="38">
        <f>VLOOKUP(H52,'Historical Shipments'!$D$2:$E$10000,2,FALSE)</f>
        <v>16293.4</v>
      </c>
      <c r="J52" s="10">
        <f t="shared" si="4"/>
        <v>17922.740000000002</v>
      </c>
      <c r="K52" s="12">
        <f t="shared" si="5"/>
        <v>27811.74</v>
      </c>
      <c r="L52" s="39">
        <f t="array" ref="L52">INDEX('Carrier Rates'!$D$2:$D$1000, MATCH("X"&amp;"-"&amp;"A"&amp;"-"&amp;B52, 'Carrier Rates'!$E$2:$E$1000, 0))</f>
        <v>2540</v>
      </c>
      <c r="M52" s="13">
        <f t="array" ref="M52">INDEX('Carrier Rates'!$D$2:$D$1000, MATCH("Y"&amp;"-"&amp;"A"&amp;"-"&amp;B52, 'Carrier Rates'!$E$2:$E$1000, 0))</f>
        <v>0.12</v>
      </c>
      <c r="N52" s="11">
        <f t="shared" si="6"/>
        <v>2540</v>
      </c>
      <c r="O52" s="12">
        <f t="shared" si="7"/>
        <v>3337.4088000000002</v>
      </c>
      <c r="P52" s="12">
        <f t="shared" si="8"/>
        <v>2540</v>
      </c>
      <c r="Q52" s="37">
        <f t="shared" si="9"/>
        <v>0.8</v>
      </c>
      <c r="R52" s="12">
        <f t="shared" si="10"/>
        <v>3955.6000000000004</v>
      </c>
      <c r="S52" s="7"/>
      <c r="T52" s="7"/>
      <c r="U52" s="40">
        <f t="shared" si="11"/>
        <v>2540</v>
      </c>
      <c r="V52" s="43">
        <f t="shared" si="12"/>
        <v>2150.7288000000003</v>
      </c>
      <c r="W52" s="42">
        <f t="shared" si="13"/>
        <v>2150.7288000000003</v>
      </c>
      <c r="X52" s="7"/>
      <c r="Y52" s="7"/>
      <c r="Z52" s="7"/>
    </row>
    <row r="53" spans="1:26" ht="15.75" customHeight="1" x14ac:dyDescent="0.2">
      <c r="A53" s="32">
        <v>42030</v>
      </c>
      <c r="B53" s="4">
        <v>2</v>
      </c>
      <c r="C53" s="4" t="s">
        <v>16</v>
      </c>
      <c r="D53" s="33">
        <v>3448</v>
      </c>
      <c r="E53" s="12">
        <f t="shared" si="0"/>
        <v>3792.8</v>
      </c>
      <c r="F53" s="10">
        <f t="shared" si="1"/>
        <v>2</v>
      </c>
      <c r="G53" s="12">
        <f t="shared" si="2"/>
        <v>7585.6</v>
      </c>
      <c r="H53" s="37" t="str">
        <f t="shared" si="3"/>
        <v>2015-01-26-2-A</v>
      </c>
      <c r="I53" s="38">
        <f>VLOOKUP(H53,'Historical Shipments'!$D$2:$E$10000,2,FALSE)</f>
        <v>14267.2</v>
      </c>
      <c r="J53" s="10">
        <f t="shared" si="4"/>
        <v>15693.920000000002</v>
      </c>
      <c r="K53" s="12">
        <f t="shared" si="5"/>
        <v>23279.520000000004</v>
      </c>
      <c r="L53" s="39">
        <f t="array" ref="L53">INDEX('Carrier Rates'!$D$2:$D$1000, MATCH("X"&amp;"-"&amp;"A"&amp;"-"&amp;B53, 'Carrier Rates'!$E$2:$E$1000, 0))</f>
        <v>1640</v>
      </c>
      <c r="M53" s="13">
        <f t="array" ref="M53">INDEX('Carrier Rates'!$D$2:$D$1000, MATCH("Y"&amp;"-"&amp;"A"&amp;"-"&amp;B53, 'Carrier Rates'!$E$2:$E$1000, 0))</f>
        <v>7.0000000000000007E-2</v>
      </c>
      <c r="N53" s="11">
        <f t="shared" si="6"/>
        <v>1640</v>
      </c>
      <c r="O53" s="12">
        <f t="shared" si="7"/>
        <v>1629.5664000000004</v>
      </c>
      <c r="P53" s="12">
        <f t="shared" si="8"/>
        <v>1629.5664000000004</v>
      </c>
      <c r="Q53" s="37">
        <f t="shared" si="9"/>
        <v>0.8</v>
      </c>
      <c r="R53" s="12">
        <f t="shared" si="10"/>
        <v>3034.2400000000002</v>
      </c>
      <c r="S53" s="7"/>
      <c r="T53" s="7"/>
      <c r="U53" s="40">
        <f t="shared" si="11"/>
        <v>1640</v>
      </c>
      <c r="V53" s="43">
        <f t="shared" si="12"/>
        <v>1098.5744000000002</v>
      </c>
      <c r="W53" s="42">
        <f t="shared" si="13"/>
        <v>1098.5744000000002</v>
      </c>
      <c r="X53" s="7"/>
      <c r="Y53" s="7"/>
      <c r="Z53" s="7"/>
    </row>
    <row r="54" spans="1:26" ht="15.75" customHeight="1" x14ac:dyDescent="0.2">
      <c r="A54" s="32">
        <v>42037</v>
      </c>
      <c r="B54" s="4">
        <v>1</v>
      </c>
      <c r="C54" s="4" t="s">
        <v>16</v>
      </c>
      <c r="D54" s="33">
        <v>4174</v>
      </c>
      <c r="E54" s="12">
        <f t="shared" si="0"/>
        <v>4591.4000000000005</v>
      </c>
      <c r="F54" s="10">
        <f t="shared" si="1"/>
        <v>2</v>
      </c>
      <c r="G54" s="12">
        <f t="shared" si="2"/>
        <v>9182.8000000000011</v>
      </c>
      <c r="H54" s="37" t="str">
        <f t="shared" si="3"/>
        <v>2015-02-02-1-A</v>
      </c>
      <c r="I54" s="38">
        <f>VLOOKUP(H54,'Historical Shipments'!$D$2:$E$10000,2,FALSE)</f>
        <v>15571.600000000002</v>
      </c>
      <c r="J54" s="10">
        <f t="shared" si="4"/>
        <v>17128.760000000002</v>
      </c>
      <c r="K54" s="12">
        <f t="shared" si="5"/>
        <v>26311.560000000005</v>
      </c>
      <c r="L54" s="39">
        <f t="array" ref="L54">INDEX('Carrier Rates'!$D$2:$D$1000, MATCH("X"&amp;"-"&amp;"A"&amp;"-"&amp;B54, 'Carrier Rates'!$E$2:$E$1000, 0))</f>
        <v>2540</v>
      </c>
      <c r="M54" s="13">
        <f t="array" ref="M54">INDEX('Carrier Rates'!$D$2:$D$1000, MATCH("Y"&amp;"-"&amp;"A"&amp;"-"&amp;B54, 'Carrier Rates'!$E$2:$E$1000, 0))</f>
        <v>0.12</v>
      </c>
      <c r="N54" s="11">
        <f t="shared" si="6"/>
        <v>2540</v>
      </c>
      <c r="O54" s="12">
        <f t="shared" si="7"/>
        <v>3157.3872000000006</v>
      </c>
      <c r="P54" s="12">
        <f t="shared" si="8"/>
        <v>2540</v>
      </c>
      <c r="Q54" s="37">
        <f t="shared" si="9"/>
        <v>0.8</v>
      </c>
      <c r="R54" s="12">
        <f t="shared" si="10"/>
        <v>3673.1200000000008</v>
      </c>
      <c r="S54" s="7"/>
      <c r="T54" s="7"/>
      <c r="U54" s="40">
        <f t="shared" si="11"/>
        <v>2540</v>
      </c>
      <c r="V54" s="43">
        <f t="shared" si="12"/>
        <v>2055.4512</v>
      </c>
      <c r="W54" s="42">
        <f t="shared" si="13"/>
        <v>2055.4512</v>
      </c>
      <c r="X54" s="7"/>
      <c r="Y54" s="7"/>
      <c r="Z54" s="7"/>
    </row>
    <row r="55" spans="1:26" ht="15.75" customHeight="1" x14ac:dyDescent="0.2">
      <c r="A55" s="32">
        <v>42037</v>
      </c>
      <c r="B55" s="4">
        <v>2</v>
      </c>
      <c r="C55" s="4" t="s">
        <v>16</v>
      </c>
      <c r="D55" s="33">
        <v>2843</v>
      </c>
      <c r="E55" s="12">
        <f t="shared" si="0"/>
        <v>3127.3</v>
      </c>
      <c r="F55" s="10">
        <f t="shared" si="1"/>
        <v>2</v>
      </c>
      <c r="G55" s="12">
        <f t="shared" si="2"/>
        <v>6254.6</v>
      </c>
      <c r="H55" s="37" t="str">
        <f t="shared" si="3"/>
        <v>2015-02-02-2-A</v>
      </c>
      <c r="I55" s="38">
        <f>VLOOKUP(H55,'Historical Shipments'!$D$2:$E$10000,2,FALSE)</f>
        <v>13776.2</v>
      </c>
      <c r="J55" s="10">
        <f t="shared" si="4"/>
        <v>15153.820000000002</v>
      </c>
      <c r="K55" s="12">
        <f t="shared" si="5"/>
        <v>21408.420000000002</v>
      </c>
      <c r="L55" s="39">
        <f t="array" ref="L55">INDEX('Carrier Rates'!$D$2:$D$1000, MATCH("X"&amp;"-"&amp;"A"&amp;"-"&amp;B55, 'Carrier Rates'!$E$2:$E$1000, 0))</f>
        <v>1640</v>
      </c>
      <c r="M55" s="13">
        <f t="array" ref="M55">INDEX('Carrier Rates'!$D$2:$D$1000, MATCH("Y"&amp;"-"&amp;"A"&amp;"-"&amp;B55, 'Carrier Rates'!$E$2:$E$1000, 0))</f>
        <v>7.0000000000000007E-2</v>
      </c>
      <c r="N55" s="11">
        <f t="shared" si="6"/>
        <v>1640</v>
      </c>
      <c r="O55" s="12">
        <f t="shared" si="7"/>
        <v>1498.5894000000003</v>
      </c>
      <c r="P55" s="12">
        <f t="shared" si="8"/>
        <v>1498.5894000000003</v>
      </c>
      <c r="Q55" s="37">
        <f t="shared" si="9"/>
        <v>0.8</v>
      </c>
      <c r="R55" s="12">
        <f t="shared" si="10"/>
        <v>2501.84</v>
      </c>
      <c r="S55" s="7"/>
      <c r="T55" s="7"/>
      <c r="U55" s="40">
        <f t="shared" si="11"/>
        <v>1640</v>
      </c>
      <c r="V55" s="43">
        <f t="shared" si="12"/>
        <v>1060.7674000000002</v>
      </c>
      <c r="W55" s="42">
        <f t="shared" si="13"/>
        <v>1060.7674000000002</v>
      </c>
      <c r="X55" s="7"/>
      <c r="Y55" s="7"/>
      <c r="Z55" s="7"/>
    </row>
    <row r="56" spans="1:26" ht="15.75" customHeight="1" x14ac:dyDescent="0.2">
      <c r="A56" s="32">
        <v>42044</v>
      </c>
      <c r="B56" s="4">
        <v>1</v>
      </c>
      <c r="C56" s="4" t="s">
        <v>16</v>
      </c>
      <c r="D56" s="33">
        <v>4882</v>
      </c>
      <c r="E56" s="12">
        <f t="shared" si="0"/>
        <v>5370.2000000000007</v>
      </c>
      <c r="F56" s="10">
        <f t="shared" si="1"/>
        <v>2</v>
      </c>
      <c r="G56" s="12">
        <f t="shared" si="2"/>
        <v>10740.400000000001</v>
      </c>
      <c r="H56" s="37" t="str">
        <f t="shared" si="3"/>
        <v>2015-02-09-1-A</v>
      </c>
      <c r="I56" s="38">
        <f>VLOOKUP(H56,'Historical Shipments'!$D$2:$E$10000,2,FALSE)</f>
        <v>17411.2</v>
      </c>
      <c r="J56" s="10">
        <f t="shared" si="4"/>
        <v>19152.320000000003</v>
      </c>
      <c r="K56" s="12">
        <f t="shared" si="5"/>
        <v>29892.720000000005</v>
      </c>
      <c r="L56" s="39">
        <f t="array" ref="L56">INDEX('Carrier Rates'!$D$2:$D$1000, MATCH("X"&amp;"-"&amp;"A"&amp;"-"&amp;B56, 'Carrier Rates'!$E$2:$E$1000, 0))</f>
        <v>2540</v>
      </c>
      <c r="M56" s="13">
        <f t="array" ref="M56">INDEX('Carrier Rates'!$D$2:$D$1000, MATCH("Y"&amp;"-"&amp;"A"&amp;"-"&amp;B56, 'Carrier Rates'!$E$2:$E$1000, 0))</f>
        <v>0.12</v>
      </c>
      <c r="N56" s="11">
        <f t="shared" si="6"/>
        <v>2540</v>
      </c>
      <c r="O56" s="12">
        <f t="shared" si="7"/>
        <v>3587.1264000000006</v>
      </c>
      <c r="P56" s="12">
        <f t="shared" si="8"/>
        <v>2540</v>
      </c>
      <c r="Q56" s="37">
        <f t="shared" si="9"/>
        <v>0.8</v>
      </c>
      <c r="R56" s="12">
        <f t="shared" si="10"/>
        <v>4296.1600000000008</v>
      </c>
      <c r="S56" s="7"/>
      <c r="T56" s="7"/>
      <c r="U56" s="40">
        <f t="shared" si="11"/>
        <v>2540</v>
      </c>
      <c r="V56" s="43">
        <f t="shared" si="12"/>
        <v>2298.2784000000001</v>
      </c>
      <c r="W56" s="42">
        <f t="shared" si="13"/>
        <v>2298.2784000000001</v>
      </c>
      <c r="X56" s="7"/>
      <c r="Y56" s="7"/>
      <c r="Z56" s="7"/>
    </row>
    <row r="57" spans="1:26" ht="15.75" customHeight="1" x14ac:dyDescent="0.2">
      <c r="A57" s="32">
        <v>42044</v>
      </c>
      <c r="B57" s="4">
        <v>2</v>
      </c>
      <c r="C57" s="4" t="s">
        <v>16</v>
      </c>
      <c r="D57" s="33">
        <v>4081</v>
      </c>
      <c r="E57" s="12">
        <f t="shared" si="0"/>
        <v>4489.1000000000004</v>
      </c>
      <c r="F57" s="10">
        <f t="shared" si="1"/>
        <v>2</v>
      </c>
      <c r="G57" s="12">
        <f t="shared" si="2"/>
        <v>8978.2000000000007</v>
      </c>
      <c r="H57" s="37" t="str">
        <f t="shared" si="3"/>
        <v>2015-02-09-2-A</v>
      </c>
      <c r="I57" s="38">
        <f>VLOOKUP(H57,'Historical Shipments'!$D$2:$E$10000,2,FALSE)</f>
        <v>16048.6</v>
      </c>
      <c r="J57" s="10">
        <f t="shared" si="4"/>
        <v>17653.460000000003</v>
      </c>
      <c r="K57" s="12">
        <f t="shared" si="5"/>
        <v>26631.660000000003</v>
      </c>
      <c r="L57" s="39">
        <f t="array" ref="L57">INDEX('Carrier Rates'!$D$2:$D$1000, MATCH("X"&amp;"-"&amp;"A"&amp;"-"&amp;B57, 'Carrier Rates'!$E$2:$E$1000, 0))</f>
        <v>1640</v>
      </c>
      <c r="M57" s="13">
        <f t="array" ref="M57">INDEX('Carrier Rates'!$D$2:$D$1000, MATCH("Y"&amp;"-"&amp;"A"&amp;"-"&amp;B57, 'Carrier Rates'!$E$2:$E$1000, 0))</f>
        <v>7.0000000000000007E-2</v>
      </c>
      <c r="N57" s="11">
        <f t="shared" si="6"/>
        <v>1640</v>
      </c>
      <c r="O57" s="12">
        <f t="shared" si="7"/>
        <v>1864.2162000000005</v>
      </c>
      <c r="P57" s="12">
        <f t="shared" si="8"/>
        <v>1640</v>
      </c>
      <c r="Q57" s="37">
        <f t="shared" si="9"/>
        <v>0.8</v>
      </c>
      <c r="R57" s="12">
        <f t="shared" si="10"/>
        <v>3591.2800000000007</v>
      </c>
      <c r="S57" s="7"/>
      <c r="T57" s="7"/>
      <c r="U57" s="40">
        <f t="shared" si="11"/>
        <v>1640</v>
      </c>
      <c r="V57" s="43">
        <f t="shared" si="12"/>
        <v>1235.7422000000004</v>
      </c>
      <c r="W57" s="42">
        <f t="shared" si="13"/>
        <v>1235.7422000000004</v>
      </c>
      <c r="X57" s="7"/>
      <c r="Y57" s="7"/>
      <c r="Z57" s="7"/>
    </row>
    <row r="58" spans="1:26" ht="15.75" customHeight="1" x14ac:dyDescent="0.2">
      <c r="A58" s="32">
        <v>42051</v>
      </c>
      <c r="B58" s="4">
        <v>1</v>
      </c>
      <c r="C58" s="4" t="s">
        <v>16</v>
      </c>
      <c r="D58" s="33">
        <v>4099</v>
      </c>
      <c r="E58" s="12">
        <f t="shared" si="0"/>
        <v>4508.9000000000005</v>
      </c>
      <c r="F58" s="10">
        <f t="shared" si="1"/>
        <v>2</v>
      </c>
      <c r="G58" s="12">
        <f t="shared" si="2"/>
        <v>9017.8000000000011</v>
      </c>
      <c r="H58" s="37" t="str">
        <f t="shared" si="3"/>
        <v>2015-02-16-1-A</v>
      </c>
      <c r="I58" s="38">
        <f>VLOOKUP(H58,'Historical Shipments'!$D$2:$E$10000,2,FALSE)</f>
        <v>14962.600000000002</v>
      </c>
      <c r="J58" s="10">
        <f t="shared" si="4"/>
        <v>16458.860000000004</v>
      </c>
      <c r="K58" s="12">
        <f t="shared" si="5"/>
        <v>25476.660000000003</v>
      </c>
      <c r="L58" s="39">
        <f t="array" ref="L58">INDEX('Carrier Rates'!$D$2:$D$1000, MATCH("X"&amp;"-"&amp;"A"&amp;"-"&amp;B58, 'Carrier Rates'!$E$2:$E$1000, 0))</f>
        <v>2540</v>
      </c>
      <c r="M58" s="13">
        <f t="array" ref="M58">INDEX('Carrier Rates'!$D$2:$D$1000, MATCH("Y"&amp;"-"&amp;"A"&amp;"-"&amp;B58, 'Carrier Rates'!$E$2:$E$1000, 0))</f>
        <v>0.12</v>
      </c>
      <c r="N58" s="11">
        <f t="shared" si="6"/>
        <v>2540</v>
      </c>
      <c r="O58" s="12">
        <f t="shared" si="7"/>
        <v>3057.1992000000005</v>
      </c>
      <c r="P58" s="12">
        <f t="shared" si="8"/>
        <v>2540</v>
      </c>
      <c r="Q58" s="37">
        <f t="shared" si="9"/>
        <v>0.8</v>
      </c>
      <c r="R58" s="12">
        <f t="shared" si="10"/>
        <v>3607.1200000000008</v>
      </c>
      <c r="S58" s="7"/>
      <c r="T58" s="7"/>
      <c r="U58" s="40">
        <f t="shared" si="11"/>
        <v>2540</v>
      </c>
      <c r="V58" s="43">
        <f t="shared" si="12"/>
        <v>1975.0632000000005</v>
      </c>
      <c r="W58" s="42">
        <f t="shared" si="13"/>
        <v>1975.0632000000005</v>
      </c>
      <c r="X58" s="7"/>
      <c r="Y58" s="7"/>
      <c r="Z58" s="7"/>
    </row>
    <row r="59" spans="1:26" ht="15.75" customHeight="1" x14ac:dyDescent="0.2">
      <c r="A59" s="32">
        <v>42051</v>
      </c>
      <c r="B59" s="4">
        <v>2</v>
      </c>
      <c r="C59" s="4" t="s">
        <v>16</v>
      </c>
      <c r="D59" s="33">
        <v>3390</v>
      </c>
      <c r="E59" s="12">
        <f t="shared" si="0"/>
        <v>3729.0000000000005</v>
      </c>
      <c r="F59" s="10">
        <f t="shared" si="1"/>
        <v>2</v>
      </c>
      <c r="G59" s="12">
        <f t="shared" si="2"/>
        <v>7458.0000000000009</v>
      </c>
      <c r="H59" s="37" t="str">
        <f t="shared" si="3"/>
        <v>2015-02-16-2-A</v>
      </c>
      <c r="I59" s="38">
        <f>VLOOKUP(H59,'Historical Shipments'!$D$2:$E$10000,2,FALSE)</f>
        <v>12726</v>
      </c>
      <c r="J59" s="10">
        <f t="shared" si="4"/>
        <v>13998.6</v>
      </c>
      <c r="K59" s="12">
        <f t="shared" si="5"/>
        <v>21456.600000000002</v>
      </c>
      <c r="L59" s="39">
        <f t="array" ref="L59">INDEX('Carrier Rates'!$D$2:$D$1000, MATCH("X"&amp;"-"&amp;"A"&amp;"-"&amp;B59, 'Carrier Rates'!$E$2:$E$1000, 0))</f>
        <v>1640</v>
      </c>
      <c r="M59" s="13">
        <f t="array" ref="M59">INDEX('Carrier Rates'!$D$2:$D$1000, MATCH("Y"&amp;"-"&amp;"A"&amp;"-"&amp;B59, 'Carrier Rates'!$E$2:$E$1000, 0))</f>
        <v>7.0000000000000007E-2</v>
      </c>
      <c r="N59" s="11">
        <f t="shared" si="6"/>
        <v>1640</v>
      </c>
      <c r="O59" s="12">
        <f t="shared" si="7"/>
        <v>1501.9620000000002</v>
      </c>
      <c r="P59" s="12">
        <f t="shared" si="8"/>
        <v>1501.9620000000002</v>
      </c>
      <c r="Q59" s="37">
        <f t="shared" si="9"/>
        <v>0.8</v>
      </c>
      <c r="R59" s="12">
        <f t="shared" si="10"/>
        <v>2983.2000000000007</v>
      </c>
      <c r="S59" s="7"/>
      <c r="T59" s="7"/>
      <c r="U59" s="40">
        <f t="shared" si="11"/>
        <v>1640</v>
      </c>
      <c r="V59" s="43">
        <f t="shared" si="12"/>
        <v>979.90200000000016</v>
      </c>
      <c r="W59" s="42">
        <f t="shared" si="13"/>
        <v>979.90200000000016</v>
      </c>
      <c r="X59" s="7"/>
      <c r="Y59" s="7"/>
      <c r="Z59" s="7"/>
    </row>
    <row r="60" spans="1:26" ht="15.75" customHeight="1" x14ac:dyDescent="0.2">
      <c r="A60" s="32">
        <v>42058</v>
      </c>
      <c r="B60" s="4">
        <v>1</v>
      </c>
      <c r="C60" s="4" t="s">
        <v>16</v>
      </c>
      <c r="D60" s="33">
        <v>4059</v>
      </c>
      <c r="E60" s="12">
        <f t="shared" si="0"/>
        <v>4464.9000000000005</v>
      </c>
      <c r="F60" s="10">
        <f t="shared" si="1"/>
        <v>2</v>
      </c>
      <c r="G60" s="12">
        <f t="shared" si="2"/>
        <v>8929.8000000000011</v>
      </c>
      <c r="H60" s="37" t="str">
        <f t="shared" si="3"/>
        <v>2015-02-23-1-A</v>
      </c>
      <c r="I60" s="38">
        <f>VLOOKUP(H60,'Historical Shipments'!$D$2:$E$10000,2,FALSE)</f>
        <v>15277.800000000001</v>
      </c>
      <c r="J60" s="10">
        <f t="shared" si="4"/>
        <v>16805.580000000002</v>
      </c>
      <c r="K60" s="12">
        <f t="shared" si="5"/>
        <v>25735.380000000005</v>
      </c>
      <c r="L60" s="39">
        <f t="array" ref="L60">INDEX('Carrier Rates'!$D$2:$D$1000, MATCH("X"&amp;"-"&amp;"A"&amp;"-"&amp;B60, 'Carrier Rates'!$E$2:$E$1000, 0))</f>
        <v>2540</v>
      </c>
      <c r="M60" s="13">
        <f t="array" ref="M60">INDEX('Carrier Rates'!$D$2:$D$1000, MATCH("Y"&amp;"-"&amp;"A"&amp;"-"&amp;B60, 'Carrier Rates'!$E$2:$E$1000, 0))</f>
        <v>0.12</v>
      </c>
      <c r="N60" s="11">
        <f t="shared" si="6"/>
        <v>2540</v>
      </c>
      <c r="O60" s="12">
        <f t="shared" si="7"/>
        <v>3088.2456000000006</v>
      </c>
      <c r="P60" s="12">
        <f t="shared" si="8"/>
        <v>2540</v>
      </c>
      <c r="Q60" s="37">
        <f t="shared" si="9"/>
        <v>0.8</v>
      </c>
      <c r="R60" s="12">
        <f t="shared" si="10"/>
        <v>3571.9200000000005</v>
      </c>
      <c r="S60" s="7"/>
      <c r="T60" s="7"/>
      <c r="U60" s="40">
        <f t="shared" si="11"/>
        <v>2540</v>
      </c>
      <c r="V60" s="43">
        <f t="shared" si="12"/>
        <v>2016.6696000000002</v>
      </c>
      <c r="W60" s="42">
        <f t="shared" si="13"/>
        <v>2016.6696000000002</v>
      </c>
      <c r="X60" s="7"/>
      <c r="Y60" s="7"/>
      <c r="Z60" s="7"/>
    </row>
    <row r="61" spans="1:26" ht="15.75" customHeight="1" x14ac:dyDescent="0.2">
      <c r="A61" s="32">
        <v>42058</v>
      </c>
      <c r="B61" s="4">
        <v>2</v>
      </c>
      <c r="C61" s="4" t="s">
        <v>16</v>
      </c>
      <c r="D61" s="33">
        <v>2438</v>
      </c>
      <c r="E61" s="12">
        <f t="shared" si="0"/>
        <v>2681.8</v>
      </c>
      <c r="F61" s="10">
        <f t="shared" si="1"/>
        <v>2</v>
      </c>
      <c r="G61" s="12">
        <f t="shared" si="2"/>
        <v>5363.6</v>
      </c>
      <c r="H61" s="37" t="str">
        <f t="shared" si="3"/>
        <v>2015-02-23-2-A</v>
      </c>
      <c r="I61" s="38">
        <f>VLOOKUP(H61,'Historical Shipments'!$D$2:$E$10000,2,FALSE)</f>
        <v>11165.6</v>
      </c>
      <c r="J61" s="10">
        <f t="shared" si="4"/>
        <v>12282.160000000002</v>
      </c>
      <c r="K61" s="12">
        <f t="shared" si="5"/>
        <v>17645.760000000002</v>
      </c>
      <c r="L61" s="39">
        <f t="array" ref="L61">INDEX('Carrier Rates'!$D$2:$D$1000, MATCH("X"&amp;"-"&amp;"A"&amp;"-"&amp;B61, 'Carrier Rates'!$E$2:$E$1000, 0))</f>
        <v>1640</v>
      </c>
      <c r="M61" s="13">
        <f t="array" ref="M61">INDEX('Carrier Rates'!$D$2:$D$1000, MATCH("Y"&amp;"-"&amp;"A"&amp;"-"&amp;B61, 'Carrier Rates'!$E$2:$E$1000, 0))</f>
        <v>7.0000000000000007E-2</v>
      </c>
      <c r="N61" s="11">
        <f t="shared" si="6"/>
        <v>1640</v>
      </c>
      <c r="O61" s="12">
        <f t="shared" si="7"/>
        <v>1235.2032000000002</v>
      </c>
      <c r="P61" s="12">
        <f t="shared" si="8"/>
        <v>1235.2032000000002</v>
      </c>
      <c r="Q61" s="37">
        <f t="shared" si="9"/>
        <v>0.8</v>
      </c>
      <c r="R61" s="12">
        <f t="shared" si="10"/>
        <v>2145.44</v>
      </c>
      <c r="S61" s="7"/>
      <c r="T61" s="7"/>
      <c r="U61" s="40">
        <f t="shared" si="11"/>
        <v>1640</v>
      </c>
      <c r="V61" s="43">
        <f t="shared" si="12"/>
        <v>859.75120000000015</v>
      </c>
      <c r="W61" s="42">
        <f t="shared" si="13"/>
        <v>859.75120000000015</v>
      </c>
      <c r="X61" s="7"/>
      <c r="Y61" s="7"/>
      <c r="Z61" s="7"/>
    </row>
    <row r="62" spans="1:26" ht="15.75" customHeight="1" x14ac:dyDescent="0.2">
      <c r="A62" s="32">
        <v>42065</v>
      </c>
      <c r="B62" s="4">
        <v>1</v>
      </c>
      <c r="C62" s="4" t="s">
        <v>16</v>
      </c>
      <c r="D62" s="33">
        <v>4212</v>
      </c>
      <c r="E62" s="12">
        <f t="shared" si="0"/>
        <v>4633.2000000000007</v>
      </c>
      <c r="F62" s="10">
        <f t="shared" si="1"/>
        <v>2</v>
      </c>
      <c r="G62" s="12">
        <f t="shared" si="2"/>
        <v>9266.4000000000015</v>
      </c>
      <c r="H62" s="37" t="str">
        <f t="shared" si="3"/>
        <v>2015-03-02-1-A</v>
      </c>
      <c r="I62" s="38">
        <f>VLOOKUP(H62,'Historical Shipments'!$D$2:$E$10000,2,FALSE)</f>
        <v>15508.800000000001</v>
      </c>
      <c r="J62" s="10">
        <f t="shared" si="4"/>
        <v>17059.680000000004</v>
      </c>
      <c r="K62" s="12">
        <f t="shared" si="5"/>
        <v>26326.080000000005</v>
      </c>
      <c r="L62" s="39">
        <f t="array" ref="L62">INDEX('Carrier Rates'!$D$2:$D$1000, MATCH("X"&amp;"-"&amp;"A"&amp;"-"&amp;B62, 'Carrier Rates'!$E$2:$E$1000, 0))</f>
        <v>2540</v>
      </c>
      <c r="M62" s="13">
        <f t="array" ref="M62">INDEX('Carrier Rates'!$D$2:$D$1000, MATCH("Y"&amp;"-"&amp;"A"&amp;"-"&amp;B62, 'Carrier Rates'!$E$2:$E$1000, 0))</f>
        <v>0.12</v>
      </c>
      <c r="N62" s="11">
        <f t="shared" si="6"/>
        <v>2540</v>
      </c>
      <c r="O62" s="12">
        <f t="shared" si="7"/>
        <v>3159.1296000000007</v>
      </c>
      <c r="P62" s="12">
        <f t="shared" si="8"/>
        <v>2540</v>
      </c>
      <c r="Q62" s="37">
        <f t="shared" si="9"/>
        <v>0.8</v>
      </c>
      <c r="R62" s="12">
        <f t="shared" si="10"/>
        <v>3706.5600000000009</v>
      </c>
      <c r="S62" s="7"/>
      <c r="T62" s="7"/>
      <c r="U62" s="40">
        <f t="shared" si="11"/>
        <v>2540</v>
      </c>
      <c r="V62" s="43">
        <f t="shared" si="12"/>
        <v>2047.1616000000004</v>
      </c>
      <c r="W62" s="42">
        <f t="shared" si="13"/>
        <v>2047.1616000000004</v>
      </c>
      <c r="X62" s="7"/>
      <c r="Y62" s="7"/>
      <c r="Z62" s="7"/>
    </row>
    <row r="63" spans="1:26" ht="15.75" customHeight="1" x14ac:dyDescent="0.2">
      <c r="A63" s="32">
        <v>42065</v>
      </c>
      <c r="B63" s="4">
        <v>2</v>
      </c>
      <c r="C63" s="4" t="s">
        <v>16</v>
      </c>
      <c r="D63" s="33">
        <v>2588</v>
      </c>
      <c r="E63" s="12">
        <f t="shared" si="0"/>
        <v>2846.8</v>
      </c>
      <c r="F63" s="10">
        <f t="shared" si="1"/>
        <v>2</v>
      </c>
      <c r="G63" s="12">
        <f t="shared" si="2"/>
        <v>5693.6</v>
      </c>
      <c r="H63" s="37" t="str">
        <f t="shared" si="3"/>
        <v>2015-03-02-2-A</v>
      </c>
      <c r="I63" s="38">
        <f>VLOOKUP(H63,'Historical Shipments'!$D$2:$E$10000,2,FALSE)</f>
        <v>12180.8</v>
      </c>
      <c r="J63" s="10">
        <f t="shared" si="4"/>
        <v>13398.880000000001</v>
      </c>
      <c r="K63" s="12">
        <f t="shared" si="5"/>
        <v>19092.480000000003</v>
      </c>
      <c r="L63" s="39">
        <f t="array" ref="L63">INDEX('Carrier Rates'!$D$2:$D$1000, MATCH("X"&amp;"-"&amp;"A"&amp;"-"&amp;B63, 'Carrier Rates'!$E$2:$E$1000, 0))</f>
        <v>1640</v>
      </c>
      <c r="M63" s="13">
        <f t="array" ref="M63">INDEX('Carrier Rates'!$D$2:$D$1000, MATCH("Y"&amp;"-"&amp;"A"&amp;"-"&amp;B63, 'Carrier Rates'!$E$2:$E$1000, 0))</f>
        <v>7.0000000000000007E-2</v>
      </c>
      <c r="N63" s="11">
        <f t="shared" si="6"/>
        <v>1640</v>
      </c>
      <c r="O63" s="12">
        <f t="shared" si="7"/>
        <v>1336.4736000000003</v>
      </c>
      <c r="P63" s="12">
        <f t="shared" si="8"/>
        <v>1336.4736000000003</v>
      </c>
      <c r="Q63" s="37">
        <f t="shared" si="9"/>
        <v>0.8</v>
      </c>
      <c r="R63" s="12">
        <f t="shared" si="10"/>
        <v>2277.44</v>
      </c>
      <c r="S63" s="7"/>
      <c r="T63" s="7"/>
      <c r="U63" s="40">
        <f t="shared" si="11"/>
        <v>1640</v>
      </c>
      <c r="V63" s="43">
        <f t="shared" si="12"/>
        <v>937.92160000000013</v>
      </c>
      <c r="W63" s="42">
        <f t="shared" si="13"/>
        <v>937.92160000000013</v>
      </c>
      <c r="X63" s="7"/>
      <c r="Y63" s="7"/>
      <c r="Z63" s="7"/>
    </row>
    <row r="64" spans="1:26" ht="15.75" customHeight="1" x14ac:dyDescent="0.2">
      <c r="A64" s="32">
        <v>42072</v>
      </c>
      <c r="B64" s="4">
        <v>1</v>
      </c>
      <c r="C64" s="4" t="s">
        <v>16</v>
      </c>
      <c r="D64" s="33">
        <v>6055</v>
      </c>
      <c r="E64" s="12">
        <f t="shared" si="0"/>
        <v>6660.5000000000009</v>
      </c>
      <c r="F64" s="10">
        <f t="shared" si="1"/>
        <v>2</v>
      </c>
      <c r="G64" s="12">
        <f t="shared" si="2"/>
        <v>13321.000000000002</v>
      </c>
      <c r="H64" s="37" t="str">
        <f t="shared" si="3"/>
        <v>2015-03-09-1-A</v>
      </c>
      <c r="I64" s="38">
        <f>VLOOKUP(H64,'Historical Shipments'!$D$2:$E$10000,2,FALSE)</f>
        <v>20751.400000000001</v>
      </c>
      <c r="J64" s="10">
        <f t="shared" si="4"/>
        <v>22826.540000000005</v>
      </c>
      <c r="K64" s="12">
        <f t="shared" si="5"/>
        <v>36147.540000000008</v>
      </c>
      <c r="L64" s="39">
        <f t="array" ref="L64">INDEX('Carrier Rates'!$D$2:$D$1000, MATCH("X"&amp;"-"&amp;"A"&amp;"-"&amp;B64, 'Carrier Rates'!$E$2:$E$1000, 0))</f>
        <v>2540</v>
      </c>
      <c r="M64" s="13">
        <f t="array" ref="M64">INDEX('Carrier Rates'!$D$2:$D$1000, MATCH("Y"&amp;"-"&amp;"A"&amp;"-"&amp;B64, 'Carrier Rates'!$E$2:$E$1000, 0))</f>
        <v>0.12</v>
      </c>
      <c r="N64" s="11">
        <f t="shared" si="6"/>
        <v>2540</v>
      </c>
      <c r="O64" s="12">
        <f t="shared" si="7"/>
        <v>4337.7048000000004</v>
      </c>
      <c r="P64" s="12">
        <f t="shared" si="8"/>
        <v>2540</v>
      </c>
      <c r="Q64" s="37">
        <f t="shared" si="9"/>
        <v>0.8</v>
      </c>
      <c r="R64" s="12">
        <f t="shared" si="10"/>
        <v>5328.4000000000015</v>
      </c>
      <c r="S64" s="7"/>
      <c r="T64" s="7"/>
      <c r="U64" s="40">
        <f t="shared" si="11"/>
        <v>2540</v>
      </c>
      <c r="V64" s="43">
        <f t="shared" si="12"/>
        <v>2739.1848000000005</v>
      </c>
      <c r="W64" s="42">
        <f t="shared" si="13"/>
        <v>2540</v>
      </c>
      <c r="X64" s="7"/>
      <c r="Y64" s="7"/>
      <c r="Z64" s="7"/>
    </row>
    <row r="65" spans="1:26" ht="15.75" customHeight="1" x14ac:dyDescent="0.2">
      <c r="A65" s="32">
        <v>42072</v>
      </c>
      <c r="B65" s="4">
        <v>2</v>
      </c>
      <c r="C65" s="4" t="s">
        <v>16</v>
      </c>
      <c r="D65" s="33">
        <v>5147</v>
      </c>
      <c r="E65" s="12">
        <f t="shared" si="0"/>
        <v>5661.7000000000007</v>
      </c>
      <c r="F65" s="10">
        <f t="shared" si="1"/>
        <v>2</v>
      </c>
      <c r="G65" s="12">
        <f t="shared" si="2"/>
        <v>11323.400000000001</v>
      </c>
      <c r="H65" s="37" t="str">
        <f t="shared" si="3"/>
        <v>2015-03-09-2-A</v>
      </c>
      <c r="I65" s="38">
        <f>VLOOKUP(H65,'Historical Shipments'!$D$2:$E$10000,2,FALSE)</f>
        <v>18528.2</v>
      </c>
      <c r="J65" s="10">
        <f t="shared" si="4"/>
        <v>20381.020000000004</v>
      </c>
      <c r="K65" s="12">
        <f t="shared" si="5"/>
        <v>31704.420000000006</v>
      </c>
      <c r="L65" s="39">
        <f t="array" ref="L65">INDEX('Carrier Rates'!$D$2:$D$1000, MATCH("X"&amp;"-"&amp;"A"&amp;"-"&amp;B65, 'Carrier Rates'!$E$2:$E$1000, 0))</f>
        <v>1640</v>
      </c>
      <c r="M65" s="13">
        <f t="array" ref="M65">INDEX('Carrier Rates'!$D$2:$D$1000, MATCH("Y"&amp;"-"&amp;"A"&amp;"-"&amp;B65, 'Carrier Rates'!$E$2:$E$1000, 0))</f>
        <v>7.0000000000000007E-2</v>
      </c>
      <c r="N65" s="11">
        <f t="shared" si="6"/>
        <v>1640</v>
      </c>
      <c r="O65" s="12">
        <f t="shared" si="7"/>
        <v>2219.3094000000006</v>
      </c>
      <c r="P65" s="12">
        <f t="shared" si="8"/>
        <v>1640</v>
      </c>
      <c r="Q65" s="37">
        <f t="shared" si="9"/>
        <v>0.8</v>
      </c>
      <c r="R65" s="12">
        <f t="shared" si="10"/>
        <v>4529.3600000000006</v>
      </c>
      <c r="S65" s="7"/>
      <c r="T65" s="7"/>
      <c r="U65" s="40">
        <f t="shared" si="11"/>
        <v>1640</v>
      </c>
      <c r="V65" s="43">
        <f t="shared" si="12"/>
        <v>1426.6714000000004</v>
      </c>
      <c r="W65" s="42">
        <f t="shared" si="13"/>
        <v>1426.6714000000004</v>
      </c>
      <c r="X65" s="7"/>
      <c r="Y65" s="7"/>
      <c r="Z65" s="7"/>
    </row>
    <row r="66" spans="1:26" ht="15.75" customHeight="1" x14ac:dyDescent="0.2">
      <c r="A66" s="32">
        <v>42079</v>
      </c>
      <c r="B66" s="4">
        <v>1</v>
      </c>
      <c r="C66" s="4" t="s">
        <v>16</v>
      </c>
      <c r="D66" s="33">
        <v>5042</v>
      </c>
      <c r="E66" s="12">
        <f t="shared" si="0"/>
        <v>5546.2000000000007</v>
      </c>
      <c r="F66" s="10">
        <f t="shared" si="1"/>
        <v>2</v>
      </c>
      <c r="G66" s="12">
        <f t="shared" si="2"/>
        <v>11092.400000000001</v>
      </c>
      <c r="H66" s="37" t="str">
        <f t="shared" si="3"/>
        <v>2015-03-16-1-A</v>
      </c>
      <c r="I66" s="38">
        <f>VLOOKUP(H66,'Historical Shipments'!$D$2:$E$10000,2,FALSE)</f>
        <v>16917.2</v>
      </c>
      <c r="J66" s="10">
        <f t="shared" si="4"/>
        <v>18608.920000000002</v>
      </c>
      <c r="K66" s="12">
        <f t="shared" si="5"/>
        <v>29701.320000000003</v>
      </c>
      <c r="L66" s="39">
        <f t="array" ref="L66">INDEX('Carrier Rates'!$D$2:$D$1000, MATCH("X"&amp;"-"&amp;"A"&amp;"-"&amp;B66, 'Carrier Rates'!$E$2:$E$1000, 0))</f>
        <v>2540</v>
      </c>
      <c r="M66" s="13">
        <f t="array" ref="M66">INDEX('Carrier Rates'!$D$2:$D$1000, MATCH("Y"&amp;"-"&amp;"A"&amp;"-"&amp;B66, 'Carrier Rates'!$E$2:$E$1000, 0))</f>
        <v>0.12</v>
      </c>
      <c r="N66" s="11">
        <f t="shared" si="6"/>
        <v>2540</v>
      </c>
      <c r="O66" s="12">
        <f t="shared" si="7"/>
        <v>3564.1584000000003</v>
      </c>
      <c r="P66" s="12">
        <f t="shared" si="8"/>
        <v>2540</v>
      </c>
      <c r="Q66" s="37">
        <f t="shared" si="9"/>
        <v>0.8</v>
      </c>
      <c r="R66" s="12">
        <f t="shared" si="10"/>
        <v>4436.9600000000009</v>
      </c>
      <c r="S66" s="7"/>
      <c r="T66" s="7"/>
      <c r="U66" s="40">
        <f t="shared" si="11"/>
        <v>2540</v>
      </c>
      <c r="V66" s="43">
        <f t="shared" si="12"/>
        <v>2233.0704000000001</v>
      </c>
      <c r="W66" s="42">
        <f t="shared" si="13"/>
        <v>2233.0704000000001</v>
      </c>
      <c r="X66" s="7"/>
      <c r="Y66" s="7"/>
      <c r="Z66" s="7"/>
    </row>
    <row r="67" spans="1:26" ht="15.75" customHeight="1" x14ac:dyDescent="0.2">
      <c r="A67" s="32">
        <v>42079</v>
      </c>
      <c r="B67" s="4">
        <v>2</v>
      </c>
      <c r="C67" s="4" t="s">
        <v>16</v>
      </c>
      <c r="D67" s="33">
        <v>4232</v>
      </c>
      <c r="E67" s="12">
        <f t="shared" si="0"/>
        <v>4655.2000000000007</v>
      </c>
      <c r="F67" s="10">
        <f t="shared" si="1"/>
        <v>2</v>
      </c>
      <c r="G67" s="12">
        <f t="shared" si="2"/>
        <v>9310.4000000000015</v>
      </c>
      <c r="H67" s="37" t="str">
        <f t="shared" si="3"/>
        <v>2015-03-16-2-A</v>
      </c>
      <c r="I67" s="38">
        <f>VLOOKUP(H67,'Historical Shipments'!$D$2:$E$10000,2,FALSE)</f>
        <v>15233.600000000002</v>
      </c>
      <c r="J67" s="10">
        <f t="shared" si="4"/>
        <v>16756.960000000003</v>
      </c>
      <c r="K67" s="12">
        <f t="shared" si="5"/>
        <v>26067.360000000004</v>
      </c>
      <c r="L67" s="39">
        <f t="array" ref="L67">INDEX('Carrier Rates'!$D$2:$D$1000, MATCH("X"&amp;"-"&amp;"A"&amp;"-"&amp;B67, 'Carrier Rates'!$E$2:$E$1000, 0))</f>
        <v>1640</v>
      </c>
      <c r="M67" s="13">
        <f t="array" ref="M67">INDEX('Carrier Rates'!$D$2:$D$1000, MATCH("Y"&amp;"-"&amp;"A"&amp;"-"&amp;B67, 'Carrier Rates'!$E$2:$E$1000, 0))</f>
        <v>7.0000000000000007E-2</v>
      </c>
      <c r="N67" s="11">
        <f t="shared" si="6"/>
        <v>1640</v>
      </c>
      <c r="O67" s="12">
        <f t="shared" si="7"/>
        <v>1824.7152000000006</v>
      </c>
      <c r="P67" s="12">
        <f t="shared" si="8"/>
        <v>1640</v>
      </c>
      <c r="Q67" s="37">
        <f t="shared" si="9"/>
        <v>0.8</v>
      </c>
      <c r="R67" s="12">
        <f t="shared" si="10"/>
        <v>3724.1600000000008</v>
      </c>
      <c r="S67" s="7"/>
      <c r="T67" s="7"/>
      <c r="U67" s="40">
        <f t="shared" si="11"/>
        <v>1640</v>
      </c>
      <c r="V67" s="43">
        <f t="shared" si="12"/>
        <v>1172.9872000000003</v>
      </c>
      <c r="W67" s="42">
        <f t="shared" si="13"/>
        <v>1172.9872000000003</v>
      </c>
      <c r="X67" s="7"/>
      <c r="Y67" s="7"/>
      <c r="Z67" s="7"/>
    </row>
    <row r="68" spans="1:26" ht="15.75" customHeight="1" x14ac:dyDescent="0.2">
      <c r="A68" s="32">
        <v>42086</v>
      </c>
      <c r="B68" s="4">
        <v>1</v>
      </c>
      <c r="C68" s="4" t="s">
        <v>16</v>
      </c>
      <c r="D68" s="33">
        <v>3806</v>
      </c>
      <c r="E68" s="12">
        <f t="shared" si="0"/>
        <v>4186.6000000000004</v>
      </c>
      <c r="F68" s="10">
        <f t="shared" si="1"/>
        <v>2</v>
      </c>
      <c r="G68" s="12">
        <f t="shared" si="2"/>
        <v>8373.2000000000007</v>
      </c>
      <c r="H68" s="37" t="str">
        <f t="shared" si="3"/>
        <v>2015-03-23-1-A</v>
      </c>
      <c r="I68" s="38">
        <f>VLOOKUP(H68,'Historical Shipments'!$D$2:$E$10000,2,FALSE)</f>
        <v>15196.400000000001</v>
      </c>
      <c r="J68" s="10">
        <f t="shared" si="4"/>
        <v>16716.040000000005</v>
      </c>
      <c r="K68" s="12">
        <f t="shared" si="5"/>
        <v>25089.240000000005</v>
      </c>
      <c r="L68" s="39">
        <f t="array" ref="L68">INDEX('Carrier Rates'!$D$2:$D$1000, MATCH("X"&amp;"-"&amp;"A"&amp;"-"&amp;B68, 'Carrier Rates'!$E$2:$E$1000, 0))</f>
        <v>2540</v>
      </c>
      <c r="M68" s="13">
        <f t="array" ref="M68">INDEX('Carrier Rates'!$D$2:$D$1000, MATCH("Y"&amp;"-"&amp;"A"&amp;"-"&amp;B68, 'Carrier Rates'!$E$2:$E$1000, 0))</f>
        <v>0.12</v>
      </c>
      <c r="N68" s="11">
        <f t="shared" si="6"/>
        <v>2540</v>
      </c>
      <c r="O68" s="12">
        <f t="shared" si="7"/>
        <v>3010.7088000000003</v>
      </c>
      <c r="P68" s="12">
        <f t="shared" si="8"/>
        <v>2540</v>
      </c>
      <c r="Q68" s="37">
        <f t="shared" si="9"/>
        <v>0.8</v>
      </c>
      <c r="R68" s="12">
        <f t="shared" si="10"/>
        <v>3349.2800000000007</v>
      </c>
      <c r="S68" s="7"/>
      <c r="T68" s="7"/>
      <c r="U68" s="40">
        <f t="shared" si="11"/>
        <v>2540</v>
      </c>
      <c r="V68" s="43">
        <f t="shared" si="12"/>
        <v>2005.9248000000005</v>
      </c>
      <c r="W68" s="42">
        <f t="shared" si="13"/>
        <v>2005.9248000000005</v>
      </c>
      <c r="X68" s="7"/>
      <c r="Y68" s="7"/>
      <c r="Z68" s="7"/>
    </row>
    <row r="69" spans="1:26" ht="15.75" customHeight="1" x14ac:dyDescent="0.2">
      <c r="A69" s="32">
        <v>42086</v>
      </c>
      <c r="B69" s="4">
        <v>2</v>
      </c>
      <c r="C69" s="4" t="s">
        <v>16</v>
      </c>
      <c r="D69" s="33">
        <v>2819</v>
      </c>
      <c r="E69" s="12">
        <f t="shared" si="0"/>
        <v>3100.9</v>
      </c>
      <c r="F69" s="10">
        <f t="shared" si="1"/>
        <v>2</v>
      </c>
      <c r="G69" s="12">
        <f t="shared" si="2"/>
        <v>6201.8</v>
      </c>
      <c r="H69" s="37" t="str">
        <f t="shared" si="3"/>
        <v>2015-03-23-2-A</v>
      </c>
      <c r="I69" s="38">
        <f>VLOOKUP(H69,'Historical Shipments'!$D$2:$E$10000,2,FALSE)</f>
        <v>14309</v>
      </c>
      <c r="J69" s="10">
        <f t="shared" si="4"/>
        <v>15739.900000000001</v>
      </c>
      <c r="K69" s="12">
        <f t="shared" si="5"/>
        <v>21941.7</v>
      </c>
      <c r="L69" s="39">
        <f t="array" ref="L69">INDEX('Carrier Rates'!$D$2:$D$1000, MATCH("X"&amp;"-"&amp;"A"&amp;"-"&amp;B69, 'Carrier Rates'!$E$2:$E$1000, 0))</f>
        <v>1640</v>
      </c>
      <c r="M69" s="13">
        <f t="array" ref="M69">INDEX('Carrier Rates'!$D$2:$D$1000, MATCH("Y"&amp;"-"&amp;"A"&amp;"-"&amp;B69, 'Carrier Rates'!$E$2:$E$1000, 0))</f>
        <v>7.0000000000000007E-2</v>
      </c>
      <c r="N69" s="11">
        <f t="shared" si="6"/>
        <v>1640</v>
      </c>
      <c r="O69" s="12">
        <f t="shared" si="7"/>
        <v>1535.9190000000001</v>
      </c>
      <c r="P69" s="12">
        <f t="shared" si="8"/>
        <v>1535.9190000000001</v>
      </c>
      <c r="Q69" s="37">
        <f t="shared" si="9"/>
        <v>0.8</v>
      </c>
      <c r="R69" s="12">
        <f t="shared" si="10"/>
        <v>2480.7200000000003</v>
      </c>
      <c r="S69" s="7"/>
      <c r="T69" s="7"/>
      <c r="U69" s="40">
        <f t="shared" si="11"/>
        <v>1640</v>
      </c>
      <c r="V69" s="43">
        <f t="shared" si="12"/>
        <v>1101.7930000000001</v>
      </c>
      <c r="W69" s="42">
        <f t="shared" si="13"/>
        <v>1101.7930000000001</v>
      </c>
      <c r="X69" s="7"/>
      <c r="Y69" s="7"/>
      <c r="Z69" s="7"/>
    </row>
    <row r="70" spans="1:26" ht="15.75" customHeight="1" x14ac:dyDescent="0.2">
      <c r="A70" s="32">
        <v>42093</v>
      </c>
      <c r="B70" s="4">
        <v>1</v>
      </c>
      <c r="C70" s="4" t="s">
        <v>16</v>
      </c>
      <c r="D70" s="33">
        <v>4470</v>
      </c>
      <c r="E70" s="12">
        <f t="shared" si="0"/>
        <v>4917</v>
      </c>
      <c r="F70" s="10">
        <f t="shared" si="1"/>
        <v>2</v>
      </c>
      <c r="G70" s="12">
        <f t="shared" si="2"/>
        <v>9834</v>
      </c>
      <c r="H70" s="37" t="str">
        <f t="shared" si="3"/>
        <v>2015-03-30-1-A</v>
      </c>
      <c r="I70" s="38">
        <f>VLOOKUP(H70,'Historical Shipments'!$D$2:$E$10000,2,FALSE)</f>
        <v>16454.400000000001</v>
      </c>
      <c r="J70" s="10">
        <f t="shared" si="4"/>
        <v>18099.840000000004</v>
      </c>
      <c r="K70" s="12">
        <f t="shared" si="5"/>
        <v>27933.840000000004</v>
      </c>
      <c r="L70" s="39">
        <f t="array" ref="L70">INDEX('Carrier Rates'!$D$2:$D$1000, MATCH("X"&amp;"-"&amp;"A"&amp;"-"&amp;B70, 'Carrier Rates'!$E$2:$E$1000, 0))</f>
        <v>2540</v>
      </c>
      <c r="M70" s="13">
        <f t="array" ref="M70">INDEX('Carrier Rates'!$D$2:$D$1000, MATCH("Y"&amp;"-"&amp;"A"&amp;"-"&amp;B70, 'Carrier Rates'!$E$2:$E$1000, 0))</f>
        <v>0.12</v>
      </c>
      <c r="N70" s="11">
        <f t="shared" si="6"/>
        <v>2540</v>
      </c>
      <c r="O70" s="12">
        <f t="shared" si="7"/>
        <v>3352.0608000000002</v>
      </c>
      <c r="P70" s="12">
        <f t="shared" si="8"/>
        <v>2540</v>
      </c>
      <c r="Q70" s="37">
        <f t="shared" si="9"/>
        <v>0.8</v>
      </c>
      <c r="R70" s="12">
        <f t="shared" si="10"/>
        <v>3933.6000000000004</v>
      </c>
      <c r="S70" s="7"/>
      <c r="T70" s="7"/>
      <c r="U70" s="40">
        <f t="shared" si="11"/>
        <v>2540</v>
      </c>
      <c r="V70" s="43">
        <f t="shared" si="12"/>
        <v>2171.9808000000003</v>
      </c>
      <c r="W70" s="42">
        <f t="shared" si="13"/>
        <v>2171.9808000000003</v>
      </c>
      <c r="X70" s="7"/>
      <c r="Y70" s="7"/>
      <c r="Z70" s="7"/>
    </row>
    <row r="71" spans="1:26" ht="15.75" customHeight="1" x14ac:dyDescent="0.2">
      <c r="A71" s="32">
        <v>42093</v>
      </c>
      <c r="B71" s="4">
        <v>2</v>
      </c>
      <c r="C71" s="4" t="s">
        <v>16</v>
      </c>
      <c r="D71" s="33">
        <v>2809</v>
      </c>
      <c r="E71" s="12">
        <f t="shared" si="0"/>
        <v>3089.9</v>
      </c>
      <c r="F71" s="10">
        <f t="shared" si="1"/>
        <v>2</v>
      </c>
      <c r="G71" s="12">
        <f t="shared" si="2"/>
        <v>6179.8</v>
      </c>
      <c r="H71" s="37" t="str">
        <f t="shared" si="3"/>
        <v>2015-03-30-2-A</v>
      </c>
      <c r="I71" s="38">
        <f>VLOOKUP(H71,'Historical Shipments'!$D$2:$E$10000,2,FALSE)</f>
        <v>14041</v>
      </c>
      <c r="J71" s="10">
        <f t="shared" si="4"/>
        <v>15445.1</v>
      </c>
      <c r="K71" s="12">
        <f t="shared" si="5"/>
        <v>21624.9</v>
      </c>
      <c r="L71" s="39">
        <f t="array" ref="L71">INDEX('Carrier Rates'!$D$2:$D$1000, MATCH("X"&amp;"-"&amp;"A"&amp;"-"&amp;B71, 'Carrier Rates'!$E$2:$E$1000, 0))</f>
        <v>1640</v>
      </c>
      <c r="M71" s="13">
        <f t="array" ref="M71">INDEX('Carrier Rates'!$D$2:$D$1000, MATCH("Y"&amp;"-"&amp;"A"&amp;"-"&amp;B71, 'Carrier Rates'!$E$2:$E$1000, 0))</f>
        <v>7.0000000000000007E-2</v>
      </c>
      <c r="N71" s="11">
        <f t="shared" si="6"/>
        <v>1640</v>
      </c>
      <c r="O71" s="12">
        <f t="shared" si="7"/>
        <v>1513.7430000000002</v>
      </c>
      <c r="P71" s="12">
        <f t="shared" si="8"/>
        <v>1513.7430000000002</v>
      </c>
      <c r="Q71" s="37">
        <f t="shared" si="9"/>
        <v>0.8</v>
      </c>
      <c r="R71" s="12">
        <f t="shared" si="10"/>
        <v>2471.92</v>
      </c>
      <c r="S71" s="7"/>
      <c r="T71" s="7"/>
      <c r="U71" s="40">
        <f t="shared" si="11"/>
        <v>1640</v>
      </c>
      <c r="V71" s="43">
        <f t="shared" si="12"/>
        <v>1081.1570000000002</v>
      </c>
      <c r="W71" s="42">
        <f t="shared" si="13"/>
        <v>1081.1570000000002</v>
      </c>
      <c r="X71" s="7"/>
      <c r="Y71" s="7"/>
      <c r="Z71" s="7"/>
    </row>
    <row r="72" spans="1:26" ht="15.75" customHeight="1" x14ac:dyDescent="0.2">
      <c r="A72" s="32">
        <v>42100</v>
      </c>
      <c r="B72" s="4">
        <v>1</v>
      </c>
      <c r="C72" s="4" t="s">
        <v>16</v>
      </c>
      <c r="D72" s="33">
        <v>4799</v>
      </c>
      <c r="E72" s="12">
        <f t="shared" si="0"/>
        <v>5278.9000000000005</v>
      </c>
      <c r="F72" s="10">
        <f t="shared" si="1"/>
        <v>2</v>
      </c>
      <c r="G72" s="12">
        <f t="shared" si="2"/>
        <v>10557.800000000001</v>
      </c>
      <c r="H72" s="37" t="str">
        <f t="shared" si="3"/>
        <v>2015-04-06-1-A</v>
      </c>
      <c r="I72" s="38">
        <f>VLOOKUP(H72,'Historical Shipments'!$D$2:$E$10000,2,FALSE)</f>
        <v>18254.599999999999</v>
      </c>
      <c r="J72" s="10">
        <f t="shared" si="4"/>
        <v>20080.060000000001</v>
      </c>
      <c r="K72" s="12">
        <f t="shared" si="5"/>
        <v>30637.86</v>
      </c>
      <c r="L72" s="39">
        <f t="array" ref="L72">INDEX('Carrier Rates'!$D$2:$D$1000, MATCH("X"&amp;"-"&amp;"A"&amp;"-"&amp;B72, 'Carrier Rates'!$E$2:$E$1000, 0))</f>
        <v>2540</v>
      </c>
      <c r="M72" s="13">
        <f t="array" ref="M72">INDEX('Carrier Rates'!$D$2:$D$1000, MATCH("Y"&amp;"-"&amp;"A"&amp;"-"&amp;B72, 'Carrier Rates'!$E$2:$E$1000, 0))</f>
        <v>0.12</v>
      </c>
      <c r="N72" s="11">
        <f t="shared" si="6"/>
        <v>2540</v>
      </c>
      <c r="O72" s="12">
        <f t="shared" si="7"/>
        <v>3676.5432000000001</v>
      </c>
      <c r="P72" s="12">
        <f t="shared" si="8"/>
        <v>2540</v>
      </c>
      <c r="Q72" s="37">
        <f t="shared" si="9"/>
        <v>0.8</v>
      </c>
      <c r="R72" s="12">
        <f t="shared" si="10"/>
        <v>4223.1200000000008</v>
      </c>
      <c r="S72" s="7"/>
      <c r="T72" s="7"/>
      <c r="U72" s="40">
        <f t="shared" si="11"/>
        <v>2540</v>
      </c>
      <c r="V72" s="43">
        <f t="shared" si="12"/>
        <v>2409.6071999999999</v>
      </c>
      <c r="W72" s="42">
        <f t="shared" si="13"/>
        <v>2409.6071999999999</v>
      </c>
      <c r="X72" s="7"/>
      <c r="Y72" s="7"/>
      <c r="Z72" s="7"/>
    </row>
    <row r="73" spans="1:26" ht="15.75" customHeight="1" x14ac:dyDescent="0.2">
      <c r="A73" s="32">
        <v>42100</v>
      </c>
      <c r="B73" s="4">
        <v>2</v>
      </c>
      <c r="C73" s="4" t="s">
        <v>16</v>
      </c>
      <c r="D73" s="33">
        <v>3712</v>
      </c>
      <c r="E73" s="12">
        <f t="shared" si="0"/>
        <v>4083.2000000000003</v>
      </c>
      <c r="F73" s="10">
        <f t="shared" si="1"/>
        <v>2</v>
      </c>
      <c r="G73" s="12">
        <f t="shared" si="2"/>
        <v>8166.4000000000005</v>
      </c>
      <c r="H73" s="37" t="str">
        <f t="shared" si="3"/>
        <v>2015-04-06-2-A</v>
      </c>
      <c r="I73" s="38">
        <f>VLOOKUP(H73,'Historical Shipments'!$D$2:$E$10000,2,FALSE)</f>
        <v>17404</v>
      </c>
      <c r="J73" s="10">
        <f t="shared" si="4"/>
        <v>19144.400000000001</v>
      </c>
      <c r="K73" s="12">
        <f t="shared" si="5"/>
        <v>27310.800000000003</v>
      </c>
      <c r="L73" s="39">
        <f t="array" ref="L73">INDEX('Carrier Rates'!$D$2:$D$1000, MATCH("X"&amp;"-"&amp;"A"&amp;"-"&amp;B73, 'Carrier Rates'!$E$2:$E$1000, 0))</f>
        <v>1640</v>
      </c>
      <c r="M73" s="13">
        <f t="array" ref="M73">INDEX('Carrier Rates'!$D$2:$D$1000, MATCH("Y"&amp;"-"&amp;"A"&amp;"-"&amp;B73, 'Carrier Rates'!$E$2:$E$1000, 0))</f>
        <v>7.0000000000000007E-2</v>
      </c>
      <c r="N73" s="11">
        <f t="shared" si="6"/>
        <v>1640</v>
      </c>
      <c r="O73" s="12">
        <f t="shared" si="7"/>
        <v>1911.7560000000003</v>
      </c>
      <c r="P73" s="12">
        <f t="shared" si="8"/>
        <v>1640</v>
      </c>
      <c r="Q73" s="37">
        <f t="shared" si="9"/>
        <v>0.8</v>
      </c>
      <c r="R73" s="12">
        <f t="shared" si="10"/>
        <v>3266.5600000000004</v>
      </c>
      <c r="S73" s="7"/>
      <c r="T73" s="7"/>
      <c r="U73" s="40">
        <f t="shared" si="11"/>
        <v>1640</v>
      </c>
      <c r="V73" s="43">
        <f t="shared" si="12"/>
        <v>1340.1080000000002</v>
      </c>
      <c r="W73" s="42">
        <f t="shared" si="13"/>
        <v>1340.1080000000002</v>
      </c>
      <c r="X73" s="7"/>
      <c r="Y73" s="7"/>
      <c r="Z73" s="7"/>
    </row>
    <row r="74" spans="1:26" ht="15.75" customHeight="1" x14ac:dyDescent="0.2">
      <c r="A74" s="32">
        <v>42107</v>
      </c>
      <c r="B74" s="4">
        <v>1</v>
      </c>
      <c r="C74" s="4" t="s">
        <v>16</v>
      </c>
      <c r="D74" s="33">
        <v>4366</v>
      </c>
      <c r="E74" s="12">
        <f t="shared" si="0"/>
        <v>4802.6000000000004</v>
      </c>
      <c r="F74" s="10">
        <f t="shared" si="1"/>
        <v>2</v>
      </c>
      <c r="G74" s="12">
        <f t="shared" si="2"/>
        <v>9605.2000000000007</v>
      </c>
      <c r="H74" s="37" t="str">
        <f t="shared" si="3"/>
        <v>2015-04-13-1-A</v>
      </c>
      <c r="I74" s="38">
        <f>VLOOKUP(H74,'Historical Shipments'!$D$2:$E$10000,2,FALSE)</f>
        <v>17605.599999999999</v>
      </c>
      <c r="J74" s="10">
        <f t="shared" si="4"/>
        <v>19366.16</v>
      </c>
      <c r="K74" s="12">
        <f t="shared" si="5"/>
        <v>28971.360000000001</v>
      </c>
      <c r="L74" s="39">
        <f t="array" ref="L74">INDEX('Carrier Rates'!$D$2:$D$1000, MATCH("X"&amp;"-"&amp;"A"&amp;"-"&amp;B74, 'Carrier Rates'!$E$2:$E$1000, 0))</f>
        <v>2540</v>
      </c>
      <c r="M74" s="13">
        <f t="array" ref="M74">INDEX('Carrier Rates'!$D$2:$D$1000, MATCH("Y"&amp;"-"&amp;"A"&amp;"-"&amp;B74, 'Carrier Rates'!$E$2:$E$1000, 0))</f>
        <v>0.12</v>
      </c>
      <c r="N74" s="11">
        <f t="shared" si="6"/>
        <v>2540</v>
      </c>
      <c r="O74" s="12">
        <f t="shared" si="7"/>
        <v>3476.5632000000001</v>
      </c>
      <c r="P74" s="12">
        <f t="shared" si="8"/>
        <v>2540</v>
      </c>
      <c r="Q74" s="37">
        <f t="shared" si="9"/>
        <v>0.8</v>
      </c>
      <c r="R74" s="12">
        <f t="shared" si="10"/>
        <v>3842.0800000000004</v>
      </c>
      <c r="S74" s="7"/>
      <c r="T74" s="7"/>
      <c r="U74" s="40">
        <f t="shared" si="11"/>
        <v>2540</v>
      </c>
      <c r="V74" s="43">
        <f t="shared" si="12"/>
        <v>2323.9391999999998</v>
      </c>
      <c r="W74" s="42">
        <f t="shared" si="13"/>
        <v>2323.9391999999998</v>
      </c>
      <c r="X74" s="7"/>
      <c r="Y74" s="7"/>
      <c r="Z74" s="7"/>
    </row>
    <row r="75" spans="1:26" ht="15.75" customHeight="1" x14ac:dyDescent="0.2">
      <c r="A75" s="32">
        <v>42107</v>
      </c>
      <c r="B75" s="4">
        <v>2</v>
      </c>
      <c r="C75" s="4" t="s">
        <v>16</v>
      </c>
      <c r="D75" s="33">
        <v>3318</v>
      </c>
      <c r="E75" s="12">
        <f t="shared" si="0"/>
        <v>3649.8</v>
      </c>
      <c r="F75" s="10">
        <f t="shared" si="1"/>
        <v>2</v>
      </c>
      <c r="G75" s="12">
        <f t="shared" si="2"/>
        <v>7299.6</v>
      </c>
      <c r="H75" s="37" t="str">
        <f t="shared" si="3"/>
        <v>2015-04-13-2-A</v>
      </c>
      <c r="I75" s="38">
        <f>VLOOKUP(H75,'Historical Shipments'!$D$2:$E$10000,2,FALSE)</f>
        <v>15282</v>
      </c>
      <c r="J75" s="10">
        <f t="shared" si="4"/>
        <v>16810.2</v>
      </c>
      <c r="K75" s="12">
        <f t="shared" si="5"/>
        <v>24109.800000000003</v>
      </c>
      <c r="L75" s="39">
        <f t="array" ref="L75">INDEX('Carrier Rates'!$D$2:$D$1000, MATCH("X"&amp;"-"&amp;"A"&amp;"-"&amp;B75, 'Carrier Rates'!$E$2:$E$1000, 0))</f>
        <v>1640</v>
      </c>
      <c r="M75" s="13">
        <f t="array" ref="M75">INDEX('Carrier Rates'!$D$2:$D$1000, MATCH("Y"&amp;"-"&amp;"A"&amp;"-"&amp;B75, 'Carrier Rates'!$E$2:$E$1000, 0))</f>
        <v>7.0000000000000007E-2</v>
      </c>
      <c r="N75" s="11">
        <f t="shared" si="6"/>
        <v>1640</v>
      </c>
      <c r="O75" s="12">
        <f t="shared" si="7"/>
        <v>1687.6860000000004</v>
      </c>
      <c r="P75" s="12">
        <f t="shared" si="8"/>
        <v>1640</v>
      </c>
      <c r="Q75" s="37">
        <f t="shared" si="9"/>
        <v>0.8</v>
      </c>
      <c r="R75" s="12">
        <f t="shared" si="10"/>
        <v>2919.84</v>
      </c>
      <c r="S75" s="7"/>
      <c r="T75" s="7"/>
      <c r="U75" s="40">
        <f t="shared" si="11"/>
        <v>1640</v>
      </c>
      <c r="V75" s="43">
        <f t="shared" si="12"/>
        <v>1176.7140000000002</v>
      </c>
      <c r="W75" s="42">
        <f t="shared" si="13"/>
        <v>1176.7140000000002</v>
      </c>
      <c r="X75" s="7"/>
      <c r="Y75" s="7"/>
      <c r="Z75" s="7"/>
    </row>
    <row r="76" spans="1:26" ht="15.75" customHeight="1" x14ac:dyDescent="0.2">
      <c r="A76" s="32">
        <v>42114</v>
      </c>
      <c r="B76" s="4">
        <v>1</v>
      </c>
      <c r="C76" s="4" t="s">
        <v>16</v>
      </c>
      <c r="D76" s="33">
        <v>4765</v>
      </c>
      <c r="E76" s="12">
        <f t="shared" si="0"/>
        <v>5241.5</v>
      </c>
      <c r="F76" s="10">
        <f t="shared" si="1"/>
        <v>2</v>
      </c>
      <c r="G76" s="12">
        <f t="shared" si="2"/>
        <v>10483</v>
      </c>
      <c r="H76" s="37" t="str">
        <f t="shared" si="3"/>
        <v>2015-04-20-1-A</v>
      </c>
      <c r="I76" s="38">
        <f>VLOOKUP(H76,'Historical Shipments'!$D$2:$E$10000,2,FALSE)</f>
        <v>17450.2</v>
      </c>
      <c r="J76" s="10">
        <f t="shared" si="4"/>
        <v>19195.22</v>
      </c>
      <c r="K76" s="12">
        <f t="shared" si="5"/>
        <v>29678.22</v>
      </c>
      <c r="L76" s="39">
        <f t="array" ref="L76">INDEX('Carrier Rates'!$D$2:$D$1000, MATCH("X"&amp;"-"&amp;"A"&amp;"-"&amp;B76, 'Carrier Rates'!$E$2:$E$1000, 0))</f>
        <v>2540</v>
      </c>
      <c r="M76" s="13">
        <f t="array" ref="M76">INDEX('Carrier Rates'!$D$2:$D$1000, MATCH("Y"&amp;"-"&amp;"A"&amp;"-"&amp;B76, 'Carrier Rates'!$E$2:$E$1000, 0))</f>
        <v>0.12</v>
      </c>
      <c r="N76" s="11">
        <f t="shared" si="6"/>
        <v>2540</v>
      </c>
      <c r="O76" s="12">
        <f t="shared" si="7"/>
        <v>3561.3863999999999</v>
      </c>
      <c r="P76" s="12">
        <f t="shared" si="8"/>
        <v>2540</v>
      </c>
      <c r="Q76" s="37">
        <f t="shared" si="9"/>
        <v>0.8</v>
      </c>
      <c r="R76" s="12">
        <f t="shared" si="10"/>
        <v>4193.2</v>
      </c>
      <c r="S76" s="7"/>
      <c r="T76" s="7"/>
      <c r="U76" s="40">
        <f t="shared" si="11"/>
        <v>2540</v>
      </c>
      <c r="V76" s="43">
        <f t="shared" si="12"/>
        <v>2303.4263999999998</v>
      </c>
      <c r="W76" s="42">
        <f t="shared" si="13"/>
        <v>2303.4263999999998</v>
      </c>
      <c r="X76" s="7"/>
      <c r="Y76" s="7"/>
      <c r="Z76" s="7"/>
    </row>
    <row r="77" spans="1:26" ht="15.75" customHeight="1" x14ac:dyDescent="0.2">
      <c r="A77" s="32">
        <v>42114</v>
      </c>
      <c r="B77" s="4">
        <v>2</v>
      </c>
      <c r="C77" s="4" t="s">
        <v>16</v>
      </c>
      <c r="D77" s="33">
        <v>3689</v>
      </c>
      <c r="E77" s="12">
        <f t="shared" si="0"/>
        <v>4057.9000000000005</v>
      </c>
      <c r="F77" s="10">
        <f t="shared" si="1"/>
        <v>2</v>
      </c>
      <c r="G77" s="12">
        <f t="shared" si="2"/>
        <v>8115.8000000000011</v>
      </c>
      <c r="H77" s="37" t="str">
        <f t="shared" si="3"/>
        <v>2015-04-20-2-A</v>
      </c>
      <c r="I77" s="38">
        <f>VLOOKUP(H77,'Historical Shipments'!$D$2:$E$10000,2,FALSE)</f>
        <v>16393.400000000001</v>
      </c>
      <c r="J77" s="10">
        <f t="shared" si="4"/>
        <v>18032.740000000002</v>
      </c>
      <c r="K77" s="12">
        <f t="shared" si="5"/>
        <v>26148.54</v>
      </c>
      <c r="L77" s="39">
        <f t="array" ref="L77">INDEX('Carrier Rates'!$D$2:$D$1000, MATCH("X"&amp;"-"&amp;"A"&amp;"-"&amp;B77, 'Carrier Rates'!$E$2:$E$1000, 0))</f>
        <v>1640</v>
      </c>
      <c r="M77" s="13">
        <f t="array" ref="M77">INDEX('Carrier Rates'!$D$2:$D$1000, MATCH("Y"&amp;"-"&amp;"A"&amp;"-"&amp;B77, 'Carrier Rates'!$E$2:$E$1000, 0))</f>
        <v>7.0000000000000007E-2</v>
      </c>
      <c r="N77" s="11">
        <f t="shared" si="6"/>
        <v>1640</v>
      </c>
      <c r="O77" s="12">
        <f t="shared" si="7"/>
        <v>1830.3978000000002</v>
      </c>
      <c r="P77" s="12">
        <f t="shared" si="8"/>
        <v>1640</v>
      </c>
      <c r="Q77" s="37">
        <f t="shared" si="9"/>
        <v>0.8</v>
      </c>
      <c r="R77" s="12">
        <f t="shared" si="10"/>
        <v>3246.3200000000006</v>
      </c>
      <c r="S77" s="7"/>
      <c r="T77" s="7"/>
      <c r="U77" s="40">
        <f t="shared" si="11"/>
        <v>1640</v>
      </c>
      <c r="V77" s="43">
        <f t="shared" si="12"/>
        <v>1262.2918000000002</v>
      </c>
      <c r="W77" s="42">
        <f t="shared" si="13"/>
        <v>1262.2918000000002</v>
      </c>
      <c r="X77" s="7"/>
      <c r="Y77" s="7"/>
      <c r="Z77" s="7"/>
    </row>
    <row r="78" spans="1:26" ht="15.75" customHeight="1" x14ac:dyDescent="0.2">
      <c r="A78" s="32">
        <v>42121</v>
      </c>
      <c r="B78" s="4">
        <v>1</v>
      </c>
      <c r="C78" s="4" t="s">
        <v>16</v>
      </c>
      <c r="D78" s="33">
        <v>5134</v>
      </c>
      <c r="E78" s="12">
        <f t="shared" si="0"/>
        <v>5647.4000000000005</v>
      </c>
      <c r="F78" s="10">
        <f t="shared" si="1"/>
        <v>2</v>
      </c>
      <c r="G78" s="12">
        <f t="shared" si="2"/>
        <v>11294.800000000001</v>
      </c>
      <c r="H78" s="37" t="str">
        <f t="shared" si="3"/>
        <v>2015-04-27-1-A</v>
      </c>
      <c r="I78" s="38">
        <f>VLOOKUP(H78,'Historical Shipments'!$D$2:$E$10000,2,FALSE)</f>
        <v>18222.400000000001</v>
      </c>
      <c r="J78" s="10">
        <f t="shared" si="4"/>
        <v>20044.640000000003</v>
      </c>
      <c r="K78" s="12">
        <f t="shared" si="5"/>
        <v>31339.440000000002</v>
      </c>
      <c r="L78" s="39">
        <f t="array" ref="L78">INDEX('Carrier Rates'!$D$2:$D$1000, MATCH("X"&amp;"-"&amp;"A"&amp;"-"&amp;B78, 'Carrier Rates'!$E$2:$E$1000, 0))</f>
        <v>2540</v>
      </c>
      <c r="M78" s="13">
        <f t="array" ref="M78">INDEX('Carrier Rates'!$D$2:$D$1000, MATCH("Y"&amp;"-"&amp;"A"&amp;"-"&amp;B78, 'Carrier Rates'!$E$2:$E$1000, 0))</f>
        <v>0.12</v>
      </c>
      <c r="N78" s="11">
        <f t="shared" si="6"/>
        <v>2540</v>
      </c>
      <c r="O78" s="12">
        <f t="shared" si="7"/>
        <v>3760.7328000000002</v>
      </c>
      <c r="P78" s="12">
        <f t="shared" si="8"/>
        <v>2540</v>
      </c>
      <c r="Q78" s="37">
        <f t="shared" si="9"/>
        <v>0.8</v>
      </c>
      <c r="R78" s="12">
        <f t="shared" si="10"/>
        <v>4517.920000000001</v>
      </c>
      <c r="S78" s="7"/>
      <c r="T78" s="7"/>
      <c r="U78" s="40">
        <f t="shared" si="11"/>
        <v>2540</v>
      </c>
      <c r="V78" s="43">
        <f t="shared" si="12"/>
        <v>2405.3568000000005</v>
      </c>
      <c r="W78" s="42">
        <f t="shared" si="13"/>
        <v>2405.3568000000005</v>
      </c>
      <c r="X78" s="7"/>
      <c r="Y78" s="7"/>
      <c r="Z78" s="7"/>
    </row>
    <row r="79" spans="1:26" ht="15.75" customHeight="1" x14ac:dyDescent="0.2">
      <c r="A79" s="32">
        <v>42121</v>
      </c>
      <c r="B79" s="4">
        <v>2</v>
      </c>
      <c r="C79" s="4" t="s">
        <v>16</v>
      </c>
      <c r="D79" s="33">
        <v>3406</v>
      </c>
      <c r="E79" s="12">
        <f t="shared" si="0"/>
        <v>3746.6000000000004</v>
      </c>
      <c r="F79" s="10">
        <f t="shared" si="1"/>
        <v>2</v>
      </c>
      <c r="G79" s="12">
        <f t="shared" si="2"/>
        <v>7493.2000000000007</v>
      </c>
      <c r="H79" s="37" t="str">
        <f t="shared" si="3"/>
        <v>2015-04-27-2-A</v>
      </c>
      <c r="I79" s="38">
        <f>VLOOKUP(H79,'Historical Shipments'!$D$2:$E$10000,2,FALSE)</f>
        <v>14887.6</v>
      </c>
      <c r="J79" s="10">
        <f t="shared" si="4"/>
        <v>16376.360000000002</v>
      </c>
      <c r="K79" s="12">
        <f t="shared" si="5"/>
        <v>23869.560000000005</v>
      </c>
      <c r="L79" s="39">
        <f t="array" ref="L79">INDEX('Carrier Rates'!$D$2:$D$1000, MATCH("X"&amp;"-"&amp;"A"&amp;"-"&amp;B79, 'Carrier Rates'!$E$2:$E$1000, 0))</f>
        <v>1640</v>
      </c>
      <c r="M79" s="13">
        <f t="array" ref="M79">INDEX('Carrier Rates'!$D$2:$D$1000, MATCH("Y"&amp;"-"&amp;"A"&amp;"-"&amp;B79, 'Carrier Rates'!$E$2:$E$1000, 0))</f>
        <v>7.0000000000000007E-2</v>
      </c>
      <c r="N79" s="11">
        <f t="shared" si="6"/>
        <v>1640</v>
      </c>
      <c r="O79" s="12">
        <f t="shared" si="7"/>
        <v>1670.8692000000005</v>
      </c>
      <c r="P79" s="12">
        <f t="shared" si="8"/>
        <v>1640</v>
      </c>
      <c r="Q79" s="37">
        <f t="shared" si="9"/>
        <v>0.8</v>
      </c>
      <c r="R79" s="12">
        <f t="shared" si="10"/>
        <v>2997.2800000000007</v>
      </c>
      <c r="S79" s="7"/>
      <c r="T79" s="7"/>
      <c r="U79" s="40">
        <f t="shared" si="11"/>
        <v>1640</v>
      </c>
      <c r="V79" s="43">
        <f t="shared" si="12"/>
        <v>1146.3452000000002</v>
      </c>
      <c r="W79" s="42">
        <f t="shared" si="13"/>
        <v>1146.3452000000002</v>
      </c>
      <c r="X79" s="7"/>
      <c r="Y79" s="7"/>
      <c r="Z79" s="7"/>
    </row>
    <row r="80" spans="1:26" ht="15.75" customHeight="1" x14ac:dyDescent="0.2">
      <c r="A80" s="32">
        <v>42128</v>
      </c>
      <c r="B80" s="4">
        <v>1</v>
      </c>
      <c r="C80" s="4" t="s">
        <v>16</v>
      </c>
      <c r="D80" s="33">
        <v>4802</v>
      </c>
      <c r="E80" s="12">
        <f t="shared" si="0"/>
        <v>5282.2000000000007</v>
      </c>
      <c r="F80" s="10">
        <f t="shared" si="1"/>
        <v>2</v>
      </c>
      <c r="G80" s="12">
        <f t="shared" si="2"/>
        <v>10564.400000000001</v>
      </c>
      <c r="H80" s="37" t="str">
        <f t="shared" si="3"/>
        <v>2015-05-04-1-A</v>
      </c>
      <c r="I80" s="38">
        <f>VLOOKUP(H80,'Historical Shipments'!$D$2:$E$10000,2,FALSE)</f>
        <v>17117.600000000002</v>
      </c>
      <c r="J80" s="10">
        <f t="shared" si="4"/>
        <v>18829.360000000004</v>
      </c>
      <c r="K80" s="12">
        <f t="shared" si="5"/>
        <v>29393.760000000006</v>
      </c>
      <c r="L80" s="39">
        <f t="array" ref="L80">INDEX('Carrier Rates'!$D$2:$D$1000, MATCH("X"&amp;"-"&amp;"A"&amp;"-"&amp;B80, 'Carrier Rates'!$E$2:$E$1000, 0))</f>
        <v>2540</v>
      </c>
      <c r="M80" s="13">
        <f t="array" ref="M80">INDEX('Carrier Rates'!$D$2:$D$1000, MATCH("Y"&amp;"-"&amp;"A"&amp;"-"&amp;B80, 'Carrier Rates'!$E$2:$E$1000, 0))</f>
        <v>0.12</v>
      </c>
      <c r="N80" s="11">
        <f t="shared" si="6"/>
        <v>2540</v>
      </c>
      <c r="O80" s="12">
        <f t="shared" si="7"/>
        <v>3527.2512000000006</v>
      </c>
      <c r="P80" s="12">
        <f t="shared" si="8"/>
        <v>2540</v>
      </c>
      <c r="Q80" s="37">
        <f t="shared" si="9"/>
        <v>0.8</v>
      </c>
      <c r="R80" s="12">
        <f t="shared" si="10"/>
        <v>4225.7600000000011</v>
      </c>
      <c r="S80" s="7"/>
      <c r="T80" s="7"/>
      <c r="U80" s="40">
        <f t="shared" si="11"/>
        <v>2540</v>
      </c>
      <c r="V80" s="43">
        <f t="shared" si="12"/>
        <v>2259.5232000000005</v>
      </c>
      <c r="W80" s="42">
        <f t="shared" si="13"/>
        <v>2259.5232000000005</v>
      </c>
      <c r="X80" s="7"/>
      <c r="Y80" s="7"/>
      <c r="Z80" s="7"/>
    </row>
    <row r="81" spans="1:26" ht="15.75" customHeight="1" x14ac:dyDescent="0.2">
      <c r="A81" s="32">
        <v>42128</v>
      </c>
      <c r="B81" s="4">
        <v>2</v>
      </c>
      <c r="C81" s="4" t="s">
        <v>16</v>
      </c>
      <c r="D81" s="33">
        <v>3714</v>
      </c>
      <c r="E81" s="12">
        <f t="shared" si="0"/>
        <v>4085.4000000000005</v>
      </c>
      <c r="F81" s="10">
        <f t="shared" si="1"/>
        <v>2</v>
      </c>
      <c r="G81" s="12">
        <f t="shared" si="2"/>
        <v>8170.8000000000011</v>
      </c>
      <c r="H81" s="37" t="str">
        <f t="shared" si="3"/>
        <v>2015-05-04-2-A</v>
      </c>
      <c r="I81" s="38">
        <f>VLOOKUP(H81,'Historical Shipments'!$D$2:$E$10000,2,FALSE)</f>
        <v>15094.800000000001</v>
      </c>
      <c r="J81" s="10">
        <f t="shared" si="4"/>
        <v>16604.280000000002</v>
      </c>
      <c r="K81" s="12">
        <f t="shared" si="5"/>
        <v>24775.08</v>
      </c>
      <c r="L81" s="39">
        <f t="array" ref="L81">INDEX('Carrier Rates'!$D$2:$D$1000, MATCH("X"&amp;"-"&amp;"A"&amp;"-"&amp;B81, 'Carrier Rates'!$E$2:$E$1000, 0))</f>
        <v>1640</v>
      </c>
      <c r="M81" s="13">
        <f t="array" ref="M81">INDEX('Carrier Rates'!$D$2:$D$1000, MATCH("Y"&amp;"-"&amp;"A"&amp;"-"&amp;B81, 'Carrier Rates'!$E$2:$E$1000, 0))</f>
        <v>7.0000000000000007E-2</v>
      </c>
      <c r="N81" s="11">
        <f t="shared" si="6"/>
        <v>1640</v>
      </c>
      <c r="O81" s="12">
        <f t="shared" si="7"/>
        <v>1734.2556000000002</v>
      </c>
      <c r="P81" s="12">
        <f t="shared" si="8"/>
        <v>1640</v>
      </c>
      <c r="Q81" s="37">
        <f t="shared" si="9"/>
        <v>0.8</v>
      </c>
      <c r="R81" s="12">
        <f t="shared" si="10"/>
        <v>3268.3200000000006</v>
      </c>
      <c r="S81" s="7"/>
      <c r="T81" s="7"/>
      <c r="U81" s="40">
        <f t="shared" si="11"/>
        <v>1640</v>
      </c>
      <c r="V81" s="43">
        <f t="shared" si="12"/>
        <v>1162.2996000000003</v>
      </c>
      <c r="W81" s="42">
        <f t="shared" si="13"/>
        <v>1162.2996000000003</v>
      </c>
      <c r="X81" s="7"/>
      <c r="Y81" s="7"/>
      <c r="Z81" s="7"/>
    </row>
    <row r="82" spans="1:26" ht="15.75" customHeight="1" x14ac:dyDescent="0.2">
      <c r="A82" s="32">
        <v>42135</v>
      </c>
      <c r="B82" s="4">
        <v>1</v>
      </c>
      <c r="C82" s="4" t="s">
        <v>16</v>
      </c>
      <c r="D82" s="33">
        <v>5394</v>
      </c>
      <c r="E82" s="12">
        <f t="shared" si="0"/>
        <v>5933.4000000000005</v>
      </c>
      <c r="F82" s="10">
        <f t="shared" si="1"/>
        <v>2</v>
      </c>
      <c r="G82" s="12">
        <f t="shared" si="2"/>
        <v>11866.800000000001</v>
      </c>
      <c r="H82" s="37" t="str">
        <f t="shared" si="3"/>
        <v>2015-05-11-1-A</v>
      </c>
      <c r="I82" s="38">
        <f>VLOOKUP(H82,'Historical Shipments'!$D$2:$E$10000,2,FALSE)</f>
        <v>19712.400000000001</v>
      </c>
      <c r="J82" s="10">
        <f t="shared" si="4"/>
        <v>21683.640000000003</v>
      </c>
      <c r="K82" s="12">
        <f t="shared" si="5"/>
        <v>33550.44</v>
      </c>
      <c r="L82" s="39">
        <f t="array" ref="L82">INDEX('Carrier Rates'!$D$2:$D$1000, MATCH("X"&amp;"-"&amp;"A"&amp;"-"&amp;B82, 'Carrier Rates'!$E$2:$E$1000, 0))</f>
        <v>2540</v>
      </c>
      <c r="M82" s="13">
        <f t="array" ref="M82">INDEX('Carrier Rates'!$D$2:$D$1000, MATCH("Y"&amp;"-"&amp;"A"&amp;"-"&amp;B82, 'Carrier Rates'!$E$2:$E$1000, 0))</f>
        <v>0.12</v>
      </c>
      <c r="N82" s="11">
        <f t="shared" si="6"/>
        <v>2540</v>
      </c>
      <c r="O82" s="12">
        <f t="shared" si="7"/>
        <v>4026.0527999999999</v>
      </c>
      <c r="P82" s="12">
        <f t="shared" si="8"/>
        <v>2540</v>
      </c>
      <c r="Q82" s="37">
        <f t="shared" si="9"/>
        <v>0.8</v>
      </c>
      <c r="R82" s="12">
        <f t="shared" si="10"/>
        <v>4746.72</v>
      </c>
      <c r="S82" s="7"/>
      <c r="T82" s="7"/>
      <c r="U82" s="40">
        <f t="shared" si="11"/>
        <v>2540</v>
      </c>
      <c r="V82" s="43">
        <f t="shared" si="12"/>
        <v>2602.0368000000003</v>
      </c>
      <c r="W82" s="42">
        <f t="shared" si="13"/>
        <v>2540</v>
      </c>
      <c r="X82" s="7"/>
      <c r="Y82" s="7"/>
      <c r="Z82" s="7"/>
    </row>
    <row r="83" spans="1:26" ht="15.75" customHeight="1" x14ac:dyDescent="0.2">
      <c r="A83" s="32">
        <v>42135</v>
      </c>
      <c r="B83" s="4">
        <v>2</v>
      </c>
      <c r="C83" s="4" t="s">
        <v>16</v>
      </c>
      <c r="D83" s="33">
        <v>3944</v>
      </c>
      <c r="E83" s="12">
        <f t="shared" si="0"/>
        <v>4338.4000000000005</v>
      </c>
      <c r="F83" s="10">
        <f t="shared" si="1"/>
        <v>2</v>
      </c>
      <c r="G83" s="12">
        <f t="shared" si="2"/>
        <v>8676.8000000000011</v>
      </c>
      <c r="H83" s="37" t="str">
        <f t="shared" si="3"/>
        <v>2015-05-11-2-A</v>
      </c>
      <c r="I83" s="38">
        <f>VLOOKUP(H83,'Historical Shipments'!$D$2:$E$10000,2,FALSE)</f>
        <v>17279.599999999999</v>
      </c>
      <c r="J83" s="10">
        <f t="shared" si="4"/>
        <v>19007.560000000001</v>
      </c>
      <c r="K83" s="12">
        <f t="shared" si="5"/>
        <v>27684.36</v>
      </c>
      <c r="L83" s="39">
        <f t="array" ref="L83">INDEX('Carrier Rates'!$D$2:$D$1000, MATCH("X"&amp;"-"&amp;"A"&amp;"-"&amp;B83, 'Carrier Rates'!$E$2:$E$1000, 0))</f>
        <v>1640</v>
      </c>
      <c r="M83" s="13">
        <f t="array" ref="M83">INDEX('Carrier Rates'!$D$2:$D$1000, MATCH("Y"&amp;"-"&amp;"A"&amp;"-"&amp;B83, 'Carrier Rates'!$E$2:$E$1000, 0))</f>
        <v>7.0000000000000007E-2</v>
      </c>
      <c r="N83" s="11">
        <f t="shared" si="6"/>
        <v>1640</v>
      </c>
      <c r="O83" s="12">
        <f t="shared" si="7"/>
        <v>1937.9052000000001</v>
      </c>
      <c r="P83" s="12">
        <f t="shared" si="8"/>
        <v>1640</v>
      </c>
      <c r="Q83" s="37">
        <f t="shared" si="9"/>
        <v>0.8</v>
      </c>
      <c r="R83" s="12">
        <f t="shared" si="10"/>
        <v>3470.7200000000007</v>
      </c>
      <c r="S83" s="7"/>
      <c r="T83" s="7"/>
      <c r="U83" s="40">
        <f t="shared" si="11"/>
        <v>1640</v>
      </c>
      <c r="V83" s="43">
        <f t="shared" si="12"/>
        <v>1330.5292000000002</v>
      </c>
      <c r="W83" s="42">
        <f t="shared" si="13"/>
        <v>1330.5292000000002</v>
      </c>
      <c r="X83" s="7"/>
      <c r="Y83" s="7"/>
      <c r="Z83" s="7"/>
    </row>
    <row r="84" spans="1:26" ht="15.75" customHeight="1" x14ac:dyDescent="0.2">
      <c r="A84" s="32">
        <v>42142</v>
      </c>
      <c r="B84" s="4">
        <v>1</v>
      </c>
      <c r="C84" s="4" t="s">
        <v>16</v>
      </c>
      <c r="D84" s="33">
        <v>5205</v>
      </c>
      <c r="E84" s="12">
        <f t="shared" si="0"/>
        <v>5725.5000000000009</v>
      </c>
      <c r="F84" s="10">
        <f t="shared" si="1"/>
        <v>2</v>
      </c>
      <c r="G84" s="12">
        <f t="shared" si="2"/>
        <v>11451.000000000002</v>
      </c>
      <c r="H84" s="37" t="str">
        <f t="shared" si="3"/>
        <v>2015-05-18-1-A</v>
      </c>
      <c r="I84" s="38">
        <f>VLOOKUP(H84,'Historical Shipments'!$D$2:$E$10000,2,FALSE)</f>
        <v>19407</v>
      </c>
      <c r="J84" s="10">
        <f t="shared" si="4"/>
        <v>21347.7</v>
      </c>
      <c r="K84" s="12">
        <f t="shared" si="5"/>
        <v>32798.700000000004</v>
      </c>
      <c r="L84" s="39">
        <f t="array" ref="L84">INDEX('Carrier Rates'!$D$2:$D$1000, MATCH("X"&amp;"-"&amp;"A"&amp;"-"&amp;B84, 'Carrier Rates'!$E$2:$E$1000, 0))</f>
        <v>2540</v>
      </c>
      <c r="M84" s="13">
        <f t="array" ref="M84">INDEX('Carrier Rates'!$D$2:$D$1000, MATCH("Y"&amp;"-"&amp;"A"&amp;"-"&amp;B84, 'Carrier Rates'!$E$2:$E$1000, 0))</f>
        <v>0.12</v>
      </c>
      <c r="N84" s="11">
        <f t="shared" si="6"/>
        <v>2540</v>
      </c>
      <c r="O84" s="12">
        <f t="shared" si="7"/>
        <v>3935.8440000000005</v>
      </c>
      <c r="P84" s="12">
        <f t="shared" si="8"/>
        <v>2540</v>
      </c>
      <c r="Q84" s="37">
        <f t="shared" si="9"/>
        <v>0.8</v>
      </c>
      <c r="R84" s="12">
        <f t="shared" si="10"/>
        <v>4580.4000000000005</v>
      </c>
      <c r="S84" s="7"/>
      <c r="T84" s="7"/>
      <c r="U84" s="40">
        <f t="shared" si="11"/>
        <v>2540</v>
      </c>
      <c r="V84" s="43">
        <f t="shared" si="12"/>
        <v>2561.7240000000002</v>
      </c>
      <c r="W84" s="42">
        <f t="shared" si="13"/>
        <v>2540</v>
      </c>
      <c r="X84" s="7"/>
      <c r="Y84" s="7"/>
      <c r="Z84" s="7"/>
    </row>
    <row r="85" spans="1:26" ht="15.75" customHeight="1" x14ac:dyDescent="0.2">
      <c r="A85" s="32">
        <v>42142</v>
      </c>
      <c r="B85" s="4">
        <v>2</v>
      </c>
      <c r="C85" s="4" t="s">
        <v>16</v>
      </c>
      <c r="D85" s="33">
        <v>3778</v>
      </c>
      <c r="E85" s="12">
        <f t="shared" si="0"/>
        <v>4155.8</v>
      </c>
      <c r="F85" s="10">
        <f t="shared" si="1"/>
        <v>2</v>
      </c>
      <c r="G85" s="12">
        <f t="shared" si="2"/>
        <v>8311.6</v>
      </c>
      <c r="H85" s="37" t="str">
        <f t="shared" si="3"/>
        <v>2015-05-18-2-A</v>
      </c>
      <c r="I85" s="38">
        <f>VLOOKUP(H85,'Historical Shipments'!$D$2:$E$10000,2,FALSE)</f>
        <v>17909.2</v>
      </c>
      <c r="J85" s="10">
        <f t="shared" si="4"/>
        <v>19700.120000000003</v>
      </c>
      <c r="K85" s="12">
        <f t="shared" si="5"/>
        <v>28011.72</v>
      </c>
      <c r="L85" s="39">
        <f t="array" ref="L85">INDEX('Carrier Rates'!$D$2:$D$1000, MATCH("X"&amp;"-"&amp;"A"&amp;"-"&amp;B85, 'Carrier Rates'!$E$2:$E$1000, 0))</f>
        <v>1640</v>
      </c>
      <c r="M85" s="13">
        <f t="array" ref="M85">INDEX('Carrier Rates'!$D$2:$D$1000, MATCH("Y"&amp;"-"&amp;"A"&amp;"-"&amp;B85, 'Carrier Rates'!$E$2:$E$1000, 0))</f>
        <v>7.0000000000000007E-2</v>
      </c>
      <c r="N85" s="11">
        <f t="shared" si="6"/>
        <v>1640</v>
      </c>
      <c r="O85" s="12">
        <f t="shared" si="7"/>
        <v>1960.8204000000003</v>
      </c>
      <c r="P85" s="12">
        <f t="shared" si="8"/>
        <v>1640</v>
      </c>
      <c r="Q85" s="37">
        <f t="shared" si="9"/>
        <v>0.8</v>
      </c>
      <c r="R85" s="12">
        <f t="shared" si="10"/>
        <v>3324.6400000000003</v>
      </c>
      <c r="S85" s="7"/>
      <c r="T85" s="7"/>
      <c r="U85" s="40">
        <f t="shared" si="11"/>
        <v>1640</v>
      </c>
      <c r="V85" s="43">
        <f t="shared" si="12"/>
        <v>1379.0084000000004</v>
      </c>
      <c r="W85" s="42">
        <f t="shared" si="13"/>
        <v>1379.0084000000004</v>
      </c>
      <c r="X85" s="7"/>
      <c r="Y85" s="7"/>
      <c r="Z85" s="7"/>
    </row>
    <row r="86" spans="1:26" ht="15.75" customHeight="1" x14ac:dyDescent="0.2">
      <c r="A86" s="32">
        <v>42149</v>
      </c>
      <c r="B86" s="4">
        <v>1</v>
      </c>
      <c r="C86" s="4" t="s">
        <v>16</v>
      </c>
      <c r="D86" s="33">
        <v>5253</v>
      </c>
      <c r="E86" s="12">
        <f t="shared" si="0"/>
        <v>5778.3</v>
      </c>
      <c r="F86" s="10">
        <f t="shared" si="1"/>
        <v>2</v>
      </c>
      <c r="G86" s="12">
        <f t="shared" si="2"/>
        <v>11556.6</v>
      </c>
      <c r="H86" s="37" t="str">
        <f t="shared" si="3"/>
        <v>2015-05-25-1-A</v>
      </c>
      <c r="I86" s="38">
        <f>VLOOKUP(H86,'Historical Shipments'!$D$2:$E$10000,2,FALSE)</f>
        <v>18816.599999999999</v>
      </c>
      <c r="J86" s="10">
        <f t="shared" si="4"/>
        <v>20698.259999999998</v>
      </c>
      <c r="K86" s="12">
        <f t="shared" si="5"/>
        <v>32254.86</v>
      </c>
      <c r="L86" s="39">
        <f t="array" ref="L86">INDEX('Carrier Rates'!$D$2:$D$1000, MATCH("X"&amp;"-"&amp;"A"&amp;"-"&amp;B86, 'Carrier Rates'!$E$2:$E$1000, 0))</f>
        <v>2540</v>
      </c>
      <c r="M86" s="13">
        <f t="array" ref="M86">INDEX('Carrier Rates'!$D$2:$D$1000, MATCH("Y"&amp;"-"&amp;"A"&amp;"-"&amp;B86, 'Carrier Rates'!$E$2:$E$1000, 0))</f>
        <v>0.12</v>
      </c>
      <c r="N86" s="11">
        <f t="shared" si="6"/>
        <v>2540</v>
      </c>
      <c r="O86" s="12">
        <f t="shared" si="7"/>
        <v>3870.5832</v>
      </c>
      <c r="P86" s="12">
        <f t="shared" si="8"/>
        <v>2540</v>
      </c>
      <c r="Q86" s="37">
        <f t="shared" si="9"/>
        <v>0.8</v>
      </c>
      <c r="R86" s="12">
        <f t="shared" si="10"/>
        <v>4622.6400000000003</v>
      </c>
      <c r="S86" s="7"/>
      <c r="T86" s="7"/>
      <c r="U86" s="40">
        <f t="shared" si="11"/>
        <v>2540</v>
      </c>
      <c r="V86" s="43">
        <f t="shared" si="12"/>
        <v>2483.7911999999997</v>
      </c>
      <c r="W86" s="42">
        <f t="shared" si="13"/>
        <v>2483.7911999999997</v>
      </c>
      <c r="X86" s="7"/>
      <c r="Y86" s="7"/>
      <c r="Z86" s="7"/>
    </row>
    <row r="87" spans="1:26" ht="15.75" customHeight="1" x14ac:dyDescent="0.2">
      <c r="A87" s="32">
        <v>42149</v>
      </c>
      <c r="B87" s="4">
        <v>2</v>
      </c>
      <c r="C87" s="4" t="s">
        <v>16</v>
      </c>
      <c r="D87" s="33">
        <v>4415</v>
      </c>
      <c r="E87" s="12">
        <f t="shared" si="0"/>
        <v>4856.5</v>
      </c>
      <c r="F87" s="10">
        <f t="shared" si="1"/>
        <v>2</v>
      </c>
      <c r="G87" s="12">
        <f t="shared" si="2"/>
        <v>9713</v>
      </c>
      <c r="H87" s="37" t="str">
        <f t="shared" si="3"/>
        <v>2015-05-25-2-A</v>
      </c>
      <c r="I87" s="38">
        <f>VLOOKUP(H87,'Historical Shipments'!$D$2:$E$10000,2,FALSE)</f>
        <v>17556.2</v>
      </c>
      <c r="J87" s="10">
        <f t="shared" si="4"/>
        <v>19311.820000000003</v>
      </c>
      <c r="K87" s="12">
        <f t="shared" si="5"/>
        <v>29024.820000000003</v>
      </c>
      <c r="L87" s="39">
        <f t="array" ref="L87">INDEX('Carrier Rates'!$D$2:$D$1000, MATCH("X"&amp;"-"&amp;"A"&amp;"-"&amp;B87, 'Carrier Rates'!$E$2:$E$1000, 0))</f>
        <v>1640</v>
      </c>
      <c r="M87" s="13">
        <f t="array" ref="M87">INDEX('Carrier Rates'!$D$2:$D$1000, MATCH("Y"&amp;"-"&amp;"A"&amp;"-"&amp;B87, 'Carrier Rates'!$E$2:$E$1000, 0))</f>
        <v>7.0000000000000007E-2</v>
      </c>
      <c r="N87" s="11">
        <f t="shared" si="6"/>
        <v>1640</v>
      </c>
      <c r="O87" s="12">
        <f t="shared" si="7"/>
        <v>2031.7374000000004</v>
      </c>
      <c r="P87" s="12">
        <f t="shared" si="8"/>
        <v>1640</v>
      </c>
      <c r="Q87" s="37">
        <f t="shared" si="9"/>
        <v>0.8</v>
      </c>
      <c r="R87" s="12">
        <f t="shared" si="10"/>
        <v>3885.2000000000003</v>
      </c>
      <c r="S87" s="7"/>
      <c r="T87" s="7"/>
      <c r="U87" s="40">
        <f t="shared" si="11"/>
        <v>1640</v>
      </c>
      <c r="V87" s="43">
        <f t="shared" si="12"/>
        <v>1351.8274000000004</v>
      </c>
      <c r="W87" s="42">
        <f t="shared" si="13"/>
        <v>1351.8274000000004</v>
      </c>
      <c r="X87" s="7"/>
      <c r="Y87" s="7"/>
      <c r="Z87" s="7"/>
    </row>
    <row r="88" spans="1:26" ht="15.75" customHeight="1" x14ac:dyDescent="0.2">
      <c r="A88" s="32">
        <v>42156</v>
      </c>
      <c r="B88" s="4">
        <v>1</v>
      </c>
      <c r="C88" s="4" t="s">
        <v>16</v>
      </c>
      <c r="D88" s="33">
        <v>5281</v>
      </c>
      <c r="E88" s="12">
        <f t="shared" si="0"/>
        <v>5809.1</v>
      </c>
      <c r="F88" s="10">
        <f t="shared" si="1"/>
        <v>2</v>
      </c>
      <c r="G88" s="12">
        <f t="shared" si="2"/>
        <v>11618.2</v>
      </c>
      <c r="H88" s="37" t="str">
        <f t="shared" si="3"/>
        <v>2015-06-01-1-A</v>
      </c>
      <c r="I88" s="38">
        <f>VLOOKUP(H88,'Historical Shipments'!$D$2:$E$10000,2,FALSE)</f>
        <v>18608.2</v>
      </c>
      <c r="J88" s="10">
        <f t="shared" si="4"/>
        <v>20469.020000000004</v>
      </c>
      <c r="K88" s="12">
        <f t="shared" si="5"/>
        <v>32087.220000000005</v>
      </c>
      <c r="L88" s="39">
        <f t="array" ref="L88">INDEX('Carrier Rates'!$D$2:$D$1000, MATCH("X"&amp;"-"&amp;"A"&amp;"-"&amp;B88, 'Carrier Rates'!$E$2:$E$1000, 0))</f>
        <v>2540</v>
      </c>
      <c r="M88" s="13">
        <f t="array" ref="M88">INDEX('Carrier Rates'!$D$2:$D$1000, MATCH("Y"&amp;"-"&amp;"A"&amp;"-"&amp;B88, 'Carrier Rates'!$E$2:$E$1000, 0))</f>
        <v>0.12</v>
      </c>
      <c r="N88" s="11">
        <f t="shared" si="6"/>
        <v>2540</v>
      </c>
      <c r="O88" s="12">
        <f t="shared" si="7"/>
        <v>3850.4664000000002</v>
      </c>
      <c r="P88" s="12">
        <f t="shared" si="8"/>
        <v>2540</v>
      </c>
      <c r="Q88" s="37">
        <f t="shared" si="9"/>
        <v>0.8</v>
      </c>
      <c r="R88" s="12">
        <f t="shared" si="10"/>
        <v>4647.2800000000007</v>
      </c>
      <c r="S88" s="7"/>
      <c r="T88" s="7"/>
      <c r="U88" s="40">
        <f t="shared" si="11"/>
        <v>2540</v>
      </c>
      <c r="V88" s="43">
        <f t="shared" si="12"/>
        <v>2456.2824000000005</v>
      </c>
      <c r="W88" s="42">
        <f t="shared" si="13"/>
        <v>2456.2824000000005</v>
      </c>
      <c r="X88" s="7"/>
      <c r="Y88" s="7"/>
      <c r="Z88" s="7"/>
    </row>
    <row r="89" spans="1:26" ht="15.75" customHeight="1" x14ac:dyDescent="0.2">
      <c r="A89" s="32">
        <v>42156</v>
      </c>
      <c r="B89" s="4">
        <v>2</v>
      </c>
      <c r="C89" s="4" t="s">
        <v>16</v>
      </c>
      <c r="D89" s="33">
        <v>4453</v>
      </c>
      <c r="E89" s="12">
        <f t="shared" si="0"/>
        <v>4898.3</v>
      </c>
      <c r="F89" s="10">
        <f t="shared" si="1"/>
        <v>2</v>
      </c>
      <c r="G89" s="12">
        <f t="shared" si="2"/>
        <v>9796.6</v>
      </c>
      <c r="H89" s="37" t="str">
        <f t="shared" si="3"/>
        <v>2015-06-01-2-A</v>
      </c>
      <c r="I89" s="38">
        <f>VLOOKUP(H89,'Historical Shipments'!$D$2:$E$10000,2,FALSE)</f>
        <v>16419.400000000001</v>
      </c>
      <c r="J89" s="10">
        <f t="shared" si="4"/>
        <v>18061.340000000004</v>
      </c>
      <c r="K89" s="12">
        <f t="shared" si="5"/>
        <v>27857.940000000002</v>
      </c>
      <c r="L89" s="39">
        <f t="array" ref="L89">INDEX('Carrier Rates'!$D$2:$D$1000, MATCH("X"&amp;"-"&amp;"A"&amp;"-"&amp;B89, 'Carrier Rates'!$E$2:$E$1000, 0))</f>
        <v>1640</v>
      </c>
      <c r="M89" s="13">
        <f t="array" ref="M89">INDEX('Carrier Rates'!$D$2:$D$1000, MATCH("Y"&amp;"-"&amp;"A"&amp;"-"&amp;B89, 'Carrier Rates'!$E$2:$E$1000, 0))</f>
        <v>7.0000000000000007E-2</v>
      </c>
      <c r="N89" s="11">
        <f t="shared" si="6"/>
        <v>1640</v>
      </c>
      <c r="O89" s="12">
        <f t="shared" si="7"/>
        <v>1950.0558000000003</v>
      </c>
      <c r="P89" s="12">
        <f t="shared" si="8"/>
        <v>1640</v>
      </c>
      <c r="Q89" s="37">
        <f t="shared" si="9"/>
        <v>0.8</v>
      </c>
      <c r="R89" s="12">
        <f t="shared" si="10"/>
        <v>3918.6400000000003</v>
      </c>
      <c r="S89" s="7"/>
      <c r="T89" s="7"/>
      <c r="U89" s="40">
        <f t="shared" si="11"/>
        <v>1640</v>
      </c>
      <c r="V89" s="43">
        <f t="shared" si="12"/>
        <v>1264.2938000000004</v>
      </c>
      <c r="W89" s="42">
        <f t="shared" si="13"/>
        <v>1264.2938000000004</v>
      </c>
      <c r="X89" s="7"/>
      <c r="Y89" s="7"/>
      <c r="Z89" s="7"/>
    </row>
    <row r="90" spans="1:26" ht="15.75" customHeight="1" x14ac:dyDescent="0.2">
      <c r="A90" s="32">
        <v>42163</v>
      </c>
      <c r="B90" s="4">
        <v>1</v>
      </c>
      <c r="C90" s="4" t="s">
        <v>16</v>
      </c>
      <c r="D90" s="33">
        <v>5168</v>
      </c>
      <c r="E90" s="12">
        <f t="shared" si="0"/>
        <v>5684.8</v>
      </c>
      <c r="F90" s="10">
        <f t="shared" si="1"/>
        <v>2</v>
      </c>
      <c r="G90" s="12">
        <f t="shared" si="2"/>
        <v>11369.6</v>
      </c>
      <c r="H90" s="37" t="str">
        <f t="shared" si="3"/>
        <v>2015-06-08-1-A</v>
      </c>
      <c r="I90" s="38">
        <f>VLOOKUP(H90,'Historical Shipments'!$D$2:$E$10000,2,FALSE)</f>
        <v>19102.400000000001</v>
      </c>
      <c r="J90" s="10">
        <f t="shared" si="4"/>
        <v>21012.640000000003</v>
      </c>
      <c r="K90" s="12">
        <f t="shared" si="5"/>
        <v>32382.240000000005</v>
      </c>
      <c r="L90" s="39">
        <f t="array" ref="L90">INDEX('Carrier Rates'!$D$2:$D$1000, MATCH("X"&amp;"-"&amp;"A"&amp;"-"&amp;B90, 'Carrier Rates'!$E$2:$E$1000, 0))</f>
        <v>2540</v>
      </c>
      <c r="M90" s="13">
        <f t="array" ref="M90">INDEX('Carrier Rates'!$D$2:$D$1000, MATCH("Y"&amp;"-"&amp;"A"&amp;"-"&amp;B90, 'Carrier Rates'!$E$2:$E$1000, 0))</f>
        <v>0.12</v>
      </c>
      <c r="N90" s="11">
        <f t="shared" si="6"/>
        <v>2540</v>
      </c>
      <c r="O90" s="12">
        <f t="shared" si="7"/>
        <v>3885.8688000000006</v>
      </c>
      <c r="P90" s="12">
        <f t="shared" si="8"/>
        <v>2540</v>
      </c>
      <c r="Q90" s="37">
        <f t="shared" si="9"/>
        <v>0.8</v>
      </c>
      <c r="R90" s="12">
        <f t="shared" si="10"/>
        <v>4547.84</v>
      </c>
      <c r="S90" s="7"/>
      <c r="T90" s="7"/>
      <c r="U90" s="40">
        <f t="shared" si="11"/>
        <v>2540</v>
      </c>
      <c r="V90" s="43">
        <f t="shared" si="12"/>
        <v>2521.5168000000003</v>
      </c>
      <c r="W90" s="42">
        <f t="shared" si="13"/>
        <v>2521.5168000000003</v>
      </c>
      <c r="X90" s="7"/>
      <c r="Y90" s="7"/>
      <c r="Z90" s="7"/>
    </row>
    <row r="91" spans="1:26" ht="15.75" customHeight="1" x14ac:dyDescent="0.2">
      <c r="A91" s="32">
        <v>42163</v>
      </c>
      <c r="B91" s="4">
        <v>2</v>
      </c>
      <c r="C91" s="4" t="s">
        <v>16</v>
      </c>
      <c r="D91" s="33">
        <v>4044</v>
      </c>
      <c r="E91" s="12">
        <f t="shared" si="0"/>
        <v>4448.4000000000005</v>
      </c>
      <c r="F91" s="10">
        <f t="shared" si="1"/>
        <v>2</v>
      </c>
      <c r="G91" s="12">
        <f t="shared" si="2"/>
        <v>8896.8000000000011</v>
      </c>
      <c r="H91" s="37" t="str">
        <f t="shared" si="3"/>
        <v>2015-06-08-2-A</v>
      </c>
      <c r="I91" s="38">
        <f>VLOOKUP(H91,'Historical Shipments'!$D$2:$E$10000,2,FALSE)</f>
        <v>16488</v>
      </c>
      <c r="J91" s="10">
        <f t="shared" si="4"/>
        <v>18136.800000000003</v>
      </c>
      <c r="K91" s="12">
        <f t="shared" si="5"/>
        <v>27033.600000000006</v>
      </c>
      <c r="L91" s="39">
        <f t="array" ref="L91">INDEX('Carrier Rates'!$D$2:$D$1000, MATCH("X"&amp;"-"&amp;"A"&amp;"-"&amp;B91, 'Carrier Rates'!$E$2:$E$1000, 0))</f>
        <v>1640</v>
      </c>
      <c r="M91" s="13">
        <f t="array" ref="M91">INDEX('Carrier Rates'!$D$2:$D$1000, MATCH("Y"&amp;"-"&amp;"A"&amp;"-"&amp;B91, 'Carrier Rates'!$E$2:$E$1000, 0))</f>
        <v>7.0000000000000007E-2</v>
      </c>
      <c r="N91" s="11">
        <f t="shared" si="6"/>
        <v>1640</v>
      </c>
      <c r="O91" s="12">
        <f t="shared" si="7"/>
        <v>1892.3520000000005</v>
      </c>
      <c r="P91" s="12">
        <f t="shared" si="8"/>
        <v>1640</v>
      </c>
      <c r="Q91" s="37">
        <f t="shared" si="9"/>
        <v>0.8</v>
      </c>
      <c r="R91" s="12">
        <f t="shared" si="10"/>
        <v>3558.7200000000007</v>
      </c>
      <c r="S91" s="7"/>
      <c r="T91" s="7"/>
      <c r="U91" s="40">
        <f t="shared" si="11"/>
        <v>1640</v>
      </c>
      <c r="V91" s="43">
        <f t="shared" si="12"/>
        <v>1269.5760000000002</v>
      </c>
      <c r="W91" s="42">
        <f t="shared" si="13"/>
        <v>1269.5760000000002</v>
      </c>
      <c r="X91" s="7"/>
      <c r="Y91" s="7"/>
      <c r="Z91" s="7"/>
    </row>
    <row r="92" spans="1:26" ht="15.75" customHeight="1" x14ac:dyDescent="0.2">
      <c r="A92" s="32">
        <v>42170</v>
      </c>
      <c r="B92" s="4">
        <v>1</v>
      </c>
      <c r="C92" s="4" t="s">
        <v>16</v>
      </c>
      <c r="D92" s="33">
        <v>5038</v>
      </c>
      <c r="E92" s="12">
        <f t="shared" si="0"/>
        <v>5541.8</v>
      </c>
      <c r="F92" s="10">
        <f t="shared" si="1"/>
        <v>2</v>
      </c>
      <c r="G92" s="12">
        <f t="shared" si="2"/>
        <v>11083.6</v>
      </c>
      <c r="H92" s="37" t="str">
        <f t="shared" si="3"/>
        <v>2015-06-15-1-A</v>
      </c>
      <c r="I92" s="38">
        <f>VLOOKUP(H92,'Historical Shipments'!$D$2:$E$10000,2,FALSE)</f>
        <v>19189.599999999999</v>
      </c>
      <c r="J92" s="10">
        <f t="shared" si="4"/>
        <v>21108.560000000001</v>
      </c>
      <c r="K92" s="12">
        <f t="shared" si="5"/>
        <v>32192.160000000003</v>
      </c>
      <c r="L92" s="39">
        <f t="array" ref="L92">INDEX('Carrier Rates'!$D$2:$D$1000, MATCH("X"&amp;"-"&amp;"A"&amp;"-"&amp;B92, 'Carrier Rates'!$E$2:$E$1000, 0))</f>
        <v>2540</v>
      </c>
      <c r="M92" s="13">
        <f t="array" ref="M92">INDEX('Carrier Rates'!$D$2:$D$1000, MATCH("Y"&amp;"-"&amp;"A"&amp;"-"&amp;B92, 'Carrier Rates'!$E$2:$E$1000, 0))</f>
        <v>0.12</v>
      </c>
      <c r="N92" s="11">
        <f t="shared" si="6"/>
        <v>2540</v>
      </c>
      <c r="O92" s="12">
        <f t="shared" si="7"/>
        <v>3863.0592000000001</v>
      </c>
      <c r="P92" s="12">
        <f t="shared" si="8"/>
        <v>2540</v>
      </c>
      <c r="Q92" s="37">
        <f t="shared" si="9"/>
        <v>0.8</v>
      </c>
      <c r="R92" s="12">
        <f t="shared" si="10"/>
        <v>4433.4400000000005</v>
      </c>
      <c r="S92" s="7"/>
      <c r="T92" s="7"/>
      <c r="U92" s="40">
        <f t="shared" si="11"/>
        <v>2540</v>
      </c>
      <c r="V92" s="43">
        <f t="shared" si="12"/>
        <v>2533.0272</v>
      </c>
      <c r="W92" s="42">
        <f t="shared" si="13"/>
        <v>2533.0272</v>
      </c>
      <c r="X92" s="7"/>
      <c r="Y92" s="7"/>
      <c r="Z92" s="7"/>
    </row>
    <row r="93" spans="1:26" ht="15.75" customHeight="1" x14ac:dyDescent="0.2">
      <c r="A93" s="32">
        <v>42170</v>
      </c>
      <c r="B93" s="4">
        <v>2</v>
      </c>
      <c r="C93" s="4" t="s">
        <v>16</v>
      </c>
      <c r="D93" s="33">
        <v>4232</v>
      </c>
      <c r="E93" s="12">
        <f t="shared" si="0"/>
        <v>4655.2000000000007</v>
      </c>
      <c r="F93" s="10">
        <f t="shared" si="1"/>
        <v>2</v>
      </c>
      <c r="G93" s="12">
        <f t="shared" si="2"/>
        <v>9310.4000000000015</v>
      </c>
      <c r="H93" s="37" t="str">
        <f t="shared" si="3"/>
        <v>2015-06-15-2-A</v>
      </c>
      <c r="I93" s="38">
        <f>VLOOKUP(H93,'Historical Shipments'!$D$2:$E$10000,2,FALSE)</f>
        <v>19103.599999999999</v>
      </c>
      <c r="J93" s="10">
        <f t="shared" si="4"/>
        <v>21013.96</v>
      </c>
      <c r="K93" s="12">
        <f t="shared" si="5"/>
        <v>30324.36</v>
      </c>
      <c r="L93" s="39">
        <f t="array" ref="L93">INDEX('Carrier Rates'!$D$2:$D$1000, MATCH("X"&amp;"-"&amp;"A"&amp;"-"&amp;B93, 'Carrier Rates'!$E$2:$E$1000, 0))</f>
        <v>1640</v>
      </c>
      <c r="M93" s="13">
        <f t="array" ref="M93">INDEX('Carrier Rates'!$D$2:$D$1000, MATCH("Y"&amp;"-"&amp;"A"&amp;"-"&amp;B93, 'Carrier Rates'!$E$2:$E$1000, 0))</f>
        <v>7.0000000000000007E-2</v>
      </c>
      <c r="N93" s="11">
        <f t="shared" si="6"/>
        <v>1640</v>
      </c>
      <c r="O93" s="12">
        <f t="shared" si="7"/>
        <v>2122.7052000000003</v>
      </c>
      <c r="P93" s="12">
        <f t="shared" si="8"/>
        <v>1640</v>
      </c>
      <c r="Q93" s="37">
        <f t="shared" si="9"/>
        <v>0.8</v>
      </c>
      <c r="R93" s="12">
        <f t="shared" si="10"/>
        <v>3724.1600000000008</v>
      </c>
      <c r="S93" s="7"/>
      <c r="T93" s="7"/>
      <c r="U93" s="40">
        <f t="shared" si="11"/>
        <v>1640</v>
      </c>
      <c r="V93" s="43">
        <f t="shared" si="12"/>
        <v>1470.9772</v>
      </c>
      <c r="W93" s="42">
        <f t="shared" si="13"/>
        <v>1470.9772</v>
      </c>
      <c r="X93" s="7"/>
      <c r="Y93" s="7"/>
      <c r="Z93" s="7"/>
    </row>
    <row r="94" spans="1:26" ht="15.75" customHeight="1" x14ac:dyDescent="0.2">
      <c r="A94" s="32">
        <v>42177</v>
      </c>
      <c r="B94" s="4">
        <v>1</v>
      </c>
      <c r="C94" s="4" t="s">
        <v>16</v>
      </c>
      <c r="D94" s="33">
        <v>4650</v>
      </c>
      <c r="E94" s="12">
        <f t="shared" si="0"/>
        <v>5115</v>
      </c>
      <c r="F94" s="10">
        <f t="shared" si="1"/>
        <v>2</v>
      </c>
      <c r="G94" s="12">
        <f t="shared" si="2"/>
        <v>10230</v>
      </c>
      <c r="H94" s="37" t="str">
        <f t="shared" si="3"/>
        <v>2015-06-22-1-A</v>
      </c>
      <c r="I94" s="38">
        <f>VLOOKUP(H94,'Historical Shipments'!$D$2:$E$10000,2,FALSE)</f>
        <v>18378</v>
      </c>
      <c r="J94" s="10">
        <f t="shared" si="4"/>
        <v>20215.800000000003</v>
      </c>
      <c r="K94" s="12">
        <f t="shared" si="5"/>
        <v>30445.800000000003</v>
      </c>
      <c r="L94" s="39">
        <f t="array" ref="L94">INDEX('Carrier Rates'!$D$2:$D$1000, MATCH("X"&amp;"-"&amp;"A"&amp;"-"&amp;B94, 'Carrier Rates'!$E$2:$E$1000, 0))</f>
        <v>2540</v>
      </c>
      <c r="M94" s="13">
        <f t="array" ref="M94">INDEX('Carrier Rates'!$D$2:$D$1000, MATCH("Y"&amp;"-"&amp;"A"&amp;"-"&amp;B94, 'Carrier Rates'!$E$2:$E$1000, 0))</f>
        <v>0.12</v>
      </c>
      <c r="N94" s="11">
        <f t="shared" si="6"/>
        <v>2540</v>
      </c>
      <c r="O94" s="12">
        <f t="shared" si="7"/>
        <v>3653.4960000000001</v>
      </c>
      <c r="P94" s="12">
        <f t="shared" si="8"/>
        <v>2540</v>
      </c>
      <c r="Q94" s="37">
        <f t="shared" si="9"/>
        <v>0.8</v>
      </c>
      <c r="R94" s="12">
        <f t="shared" si="10"/>
        <v>4092</v>
      </c>
      <c r="S94" s="7"/>
      <c r="T94" s="7"/>
      <c r="U94" s="40">
        <f t="shared" si="11"/>
        <v>2540</v>
      </c>
      <c r="V94" s="43">
        <f t="shared" si="12"/>
        <v>2425.8960000000002</v>
      </c>
      <c r="W94" s="42">
        <f t="shared" si="13"/>
        <v>2425.8960000000002</v>
      </c>
      <c r="X94" s="7"/>
      <c r="Y94" s="7"/>
      <c r="Z94" s="7"/>
    </row>
    <row r="95" spans="1:26" ht="15.75" customHeight="1" x14ac:dyDescent="0.2">
      <c r="A95" s="32">
        <v>42177</v>
      </c>
      <c r="B95" s="4">
        <v>2</v>
      </c>
      <c r="C95" s="4" t="s">
        <v>16</v>
      </c>
      <c r="D95" s="33">
        <v>2982</v>
      </c>
      <c r="E95" s="12">
        <f t="shared" si="0"/>
        <v>3280.2000000000003</v>
      </c>
      <c r="F95" s="10">
        <f t="shared" si="1"/>
        <v>2</v>
      </c>
      <c r="G95" s="12">
        <f t="shared" si="2"/>
        <v>6560.4000000000005</v>
      </c>
      <c r="H95" s="37" t="str">
        <f t="shared" si="3"/>
        <v>2015-06-22-2-A</v>
      </c>
      <c r="I95" s="38">
        <f>VLOOKUP(H95,'Historical Shipments'!$D$2:$E$10000,2,FALSE)</f>
        <v>14710.8</v>
      </c>
      <c r="J95" s="10">
        <f t="shared" si="4"/>
        <v>16181.880000000001</v>
      </c>
      <c r="K95" s="12">
        <f t="shared" si="5"/>
        <v>22742.280000000002</v>
      </c>
      <c r="L95" s="39">
        <f t="array" ref="L95">INDEX('Carrier Rates'!$D$2:$D$1000, MATCH("X"&amp;"-"&amp;"A"&amp;"-"&amp;B95, 'Carrier Rates'!$E$2:$E$1000, 0))</f>
        <v>1640</v>
      </c>
      <c r="M95" s="13">
        <f t="array" ref="M95">INDEX('Carrier Rates'!$D$2:$D$1000, MATCH("Y"&amp;"-"&amp;"A"&amp;"-"&amp;B95, 'Carrier Rates'!$E$2:$E$1000, 0))</f>
        <v>7.0000000000000007E-2</v>
      </c>
      <c r="N95" s="11">
        <f t="shared" si="6"/>
        <v>1640</v>
      </c>
      <c r="O95" s="12">
        <f t="shared" si="7"/>
        <v>1591.9596000000004</v>
      </c>
      <c r="P95" s="12">
        <f t="shared" si="8"/>
        <v>1591.9596000000004</v>
      </c>
      <c r="Q95" s="37">
        <f t="shared" si="9"/>
        <v>0.8</v>
      </c>
      <c r="R95" s="12">
        <f t="shared" si="10"/>
        <v>2624.1600000000003</v>
      </c>
      <c r="S95" s="7"/>
      <c r="T95" s="7"/>
      <c r="U95" s="40">
        <f t="shared" si="11"/>
        <v>1640</v>
      </c>
      <c r="V95" s="43">
        <f t="shared" si="12"/>
        <v>1132.7316000000001</v>
      </c>
      <c r="W95" s="42">
        <f t="shared" si="13"/>
        <v>1132.7316000000001</v>
      </c>
      <c r="X95" s="7"/>
      <c r="Y95" s="7"/>
      <c r="Z95" s="7"/>
    </row>
    <row r="96" spans="1:26" ht="15.75" customHeight="1" x14ac:dyDescent="0.2">
      <c r="A96" s="32">
        <v>42184</v>
      </c>
      <c r="B96" s="4">
        <v>1</v>
      </c>
      <c r="C96" s="4" t="s">
        <v>16</v>
      </c>
      <c r="D96" s="33">
        <v>5914</v>
      </c>
      <c r="E96" s="12">
        <f t="shared" si="0"/>
        <v>6505.4000000000005</v>
      </c>
      <c r="F96" s="10">
        <f t="shared" si="1"/>
        <v>2</v>
      </c>
      <c r="G96" s="12">
        <f t="shared" si="2"/>
        <v>13010.800000000001</v>
      </c>
      <c r="H96" s="37" t="str">
        <f t="shared" si="3"/>
        <v>2015-06-29-1-A</v>
      </c>
      <c r="I96" s="38">
        <f>VLOOKUP(H96,'Historical Shipments'!$D$2:$E$10000,2,FALSE)</f>
        <v>20008</v>
      </c>
      <c r="J96" s="10">
        <f t="shared" si="4"/>
        <v>22008.800000000003</v>
      </c>
      <c r="K96" s="12">
        <f t="shared" si="5"/>
        <v>35019.600000000006</v>
      </c>
      <c r="L96" s="39">
        <f t="array" ref="L96">INDEX('Carrier Rates'!$D$2:$D$1000, MATCH("X"&amp;"-"&amp;"A"&amp;"-"&amp;B96, 'Carrier Rates'!$E$2:$E$1000, 0))</f>
        <v>2540</v>
      </c>
      <c r="M96" s="13">
        <f t="array" ref="M96">INDEX('Carrier Rates'!$D$2:$D$1000, MATCH("Y"&amp;"-"&amp;"A"&amp;"-"&amp;B96, 'Carrier Rates'!$E$2:$E$1000, 0))</f>
        <v>0.12</v>
      </c>
      <c r="N96" s="11">
        <f t="shared" si="6"/>
        <v>2540</v>
      </c>
      <c r="O96" s="12">
        <f t="shared" si="7"/>
        <v>4202.3520000000008</v>
      </c>
      <c r="P96" s="12">
        <f t="shared" si="8"/>
        <v>2540</v>
      </c>
      <c r="Q96" s="37">
        <f t="shared" si="9"/>
        <v>0.8</v>
      </c>
      <c r="R96" s="12">
        <f t="shared" si="10"/>
        <v>5204.3200000000006</v>
      </c>
      <c r="S96" s="7"/>
      <c r="T96" s="7"/>
      <c r="U96" s="40">
        <f t="shared" si="11"/>
        <v>2540</v>
      </c>
      <c r="V96" s="43">
        <f t="shared" si="12"/>
        <v>2641.056</v>
      </c>
      <c r="W96" s="42">
        <f t="shared" si="13"/>
        <v>2540</v>
      </c>
      <c r="X96" s="7"/>
      <c r="Y96" s="7"/>
      <c r="Z96" s="7"/>
    </row>
    <row r="97" spans="1:26" ht="15.75" customHeight="1" x14ac:dyDescent="0.2">
      <c r="A97" s="32">
        <v>42184</v>
      </c>
      <c r="B97" s="4">
        <v>2</v>
      </c>
      <c r="C97" s="4" t="s">
        <v>16</v>
      </c>
      <c r="D97" s="33">
        <v>4112</v>
      </c>
      <c r="E97" s="12">
        <f t="shared" si="0"/>
        <v>4523.2000000000007</v>
      </c>
      <c r="F97" s="10">
        <f t="shared" si="1"/>
        <v>2</v>
      </c>
      <c r="G97" s="12">
        <f t="shared" si="2"/>
        <v>9046.4000000000015</v>
      </c>
      <c r="H97" s="37" t="str">
        <f t="shared" si="3"/>
        <v>2015-06-29-2-A</v>
      </c>
      <c r="I97" s="38">
        <f>VLOOKUP(H97,'Historical Shipments'!$D$2:$E$10000,2,FALSE)</f>
        <v>15684.800000000001</v>
      </c>
      <c r="J97" s="10">
        <f t="shared" si="4"/>
        <v>17253.280000000002</v>
      </c>
      <c r="K97" s="12">
        <f t="shared" si="5"/>
        <v>26299.680000000004</v>
      </c>
      <c r="L97" s="39">
        <f t="array" ref="L97">INDEX('Carrier Rates'!$D$2:$D$1000, MATCH("X"&amp;"-"&amp;"A"&amp;"-"&amp;B97, 'Carrier Rates'!$E$2:$E$1000, 0))</f>
        <v>1640</v>
      </c>
      <c r="M97" s="13">
        <f t="array" ref="M97">INDEX('Carrier Rates'!$D$2:$D$1000, MATCH("Y"&amp;"-"&amp;"A"&amp;"-"&amp;B97, 'Carrier Rates'!$E$2:$E$1000, 0))</f>
        <v>7.0000000000000007E-2</v>
      </c>
      <c r="N97" s="11">
        <f t="shared" si="6"/>
        <v>1640</v>
      </c>
      <c r="O97" s="12">
        <f t="shared" si="7"/>
        <v>1840.9776000000004</v>
      </c>
      <c r="P97" s="12">
        <f t="shared" si="8"/>
        <v>1640</v>
      </c>
      <c r="Q97" s="37">
        <f t="shared" si="9"/>
        <v>0.8</v>
      </c>
      <c r="R97" s="12">
        <f t="shared" si="10"/>
        <v>3618.5600000000009</v>
      </c>
      <c r="S97" s="7"/>
      <c r="T97" s="7"/>
      <c r="U97" s="40">
        <f t="shared" si="11"/>
        <v>1640</v>
      </c>
      <c r="V97" s="43">
        <f t="shared" si="12"/>
        <v>1207.7296000000003</v>
      </c>
      <c r="W97" s="42">
        <f t="shared" si="13"/>
        <v>1207.7296000000003</v>
      </c>
      <c r="X97" s="7"/>
      <c r="Y97" s="7"/>
      <c r="Z97" s="7"/>
    </row>
    <row r="98" spans="1:26" ht="15.75" customHeight="1" x14ac:dyDescent="0.2">
      <c r="A98" s="32">
        <v>42191</v>
      </c>
      <c r="B98" s="4">
        <v>1</v>
      </c>
      <c r="C98" s="4" t="s">
        <v>16</v>
      </c>
      <c r="D98" s="33">
        <v>5835</v>
      </c>
      <c r="E98" s="12">
        <f t="shared" si="0"/>
        <v>6418.5000000000009</v>
      </c>
      <c r="F98" s="10">
        <f t="shared" si="1"/>
        <v>2</v>
      </c>
      <c r="G98" s="12">
        <f t="shared" si="2"/>
        <v>12837.000000000002</v>
      </c>
      <c r="H98" s="37" t="str">
        <f t="shared" si="3"/>
        <v>2015-07-06-1-A</v>
      </c>
      <c r="I98" s="38">
        <f>VLOOKUP(H98,'Historical Shipments'!$D$2:$E$10000,2,FALSE)</f>
        <v>20573.400000000001</v>
      </c>
      <c r="J98" s="10">
        <f t="shared" si="4"/>
        <v>22630.740000000005</v>
      </c>
      <c r="K98" s="12">
        <f t="shared" si="5"/>
        <v>35467.740000000005</v>
      </c>
      <c r="L98" s="39">
        <f t="array" ref="L98">INDEX('Carrier Rates'!$D$2:$D$1000, MATCH("X"&amp;"-"&amp;"A"&amp;"-"&amp;B98, 'Carrier Rates'!$E$2:$E$1000, 0))</f>
        <v>2540</v>
      </c>
      <c r="M98" s="13">
        <f t="array" ref="M98">INDEX('Carrier Rates'!$D$2:$D$1000, MATCH("Y"&amp;"-"&amp;"A"&amp;"-"&amp;B98, 'Carrier Rates'!$E$2:$E$1000, 0))</f>
        <v>0.12</v>
      </c>
      <c r="N98" s="11">
        <f t="shared" si="6"/>
        <v>2540</v>
      </c>
      <c r="O98" s="12">
        <f t="shared" si="7"/>
        <v>4256.1288000000004</v>
      </c>
      <c r="P98" s="12">
        <f t="shared" si="8"/>
        <v>2540</v>
      </c>
      <c r="Q98" s="37">
        <f t="shared" si="9"/>
        <v>0.8</v>
      </c>
      <c r="R98" s="12">
        <f t="shared" si="10"/>
        <v>5134.8000000000011</v>
      </c>
      <c r="S98" s="7"/>
      <c r="T98" s="7"/>
      <c r="U98" s="40">
        <f t="shared" si="11"/>
        <v>2540</v>
      </c>
      <c r="V98" s="43">
        <f t="shared" si="12"/>
        <v>2715.6888000000004</v>
      </c>
      <c r="W98" s="42">
        <f t="shared" si="13"/>
        <v>2540</v>
      </c>
      <c r="X98" s="7"/>
      <c r="Y98" s="7"/>
      <c r="Z98" s="7"/>
    </row>
    <row r="99" spans="1:26" ht="15.75" customHeight="1" x14ac:dyDescent="0.2">
      <c r="A99" s="32">
        <v>42191</v>
      </c>
      <c r="B99" s="4">
        <v>2</v>
      </c>
      <c r="C99" s="4" t="s">
        <v>16</v>
      </c>
      <c r="D99" s="33">
        <v>4945</v>
      </c>
      <c r="E99" s="12">
        <f t="shared" si="0"/>
        <v>5439.5</v>
      </c>
      <c r="F99" s="10">
        <f t="shared" si="1"/>
        <v>2</v>
      </c>
      <c r="G99" s="12">
        <f t="shared" si="2"/>
        <v>10879</v>
      </c>
      <c r="H99" s="37" t="str">
        <f t="shared" si="3"/>
        <v>2015-07-06-2-A</v>
      </c>
      <c r="I99" s="38">
        <f>VLOOKUP(H99,'Historical Shipments'!$D$2:$E$10000,2,FALSE)</f>
        <v>18469</v>
      </c>
      <c r="J99" s="10">
        <f t="shared" si="4"/>
        <v>20315.900000000001</v>
      </c>
      <c r="K99" s="12">
        <f t="shared" si="5"/>
        <v>31194.9</v>
      </c>
      <c r="L99" s="39">
        <f t="array" ref="L99">INDEX('Carrier Rates'!$D$2:$D$1000, MATCH("X"&amp;"-"&amp;"A"&amp;"-"&amp;B99, 'Carrier Rates'!$E$2:$E$1000, 0))</f>
        <v>1640</v>
      </c>
      <c r="M99" s="13">
        <f t="array" ref="M99">INDEX('Carrier Rates'!$D$2:$D$1000, MATCH("Y"&amp;"-"&amp;"A"&amp;"-"&amp;B99, 'Carrier Rates'!$E$2:$E$1000, 0))</f>
        <v>7.0000000000000007E-2</v>
      </c>
      <c r="N99" s="11">
        <f t="shared" si="6"/>
        <v>1640</v>
      </c>
      <c r="O99" s="12">
        <f t="shared" si="7"/>
        <v>2183.6430000000005</v>
      </c>
      <c r="P99" s="12">
        <f t="shared" si="8"/>
        <v>1640</v>
      </c>
      <c r="Q99" s="37">
        <f t="shared" si="9"/>
        <v>0.8</v>
      </c>
      <c r="R99" s="12">
        <f t="shared" si="10"/>
        <v>4351.6000000000004</v>
      </c>
      <c r="S99" s="7"/>
      <c r="T99" s="7"/>
      <c r="U99" s="40">
        <f t="shared" si="11"/>
        <v>1640</v>
      </c>
      <c r="V99" s="43">
        <f t="shared" si="12"/>
        <v>1422.1130000000003</v>
      </c>
      <c r="W99" s="42">
        <f t="shared" si="13"/>
        <v>1422.1130000000003</v>
      </c>
      <c r="X99" s="7"/>
      <c r="Y99" s="7"/>
      <c r="Z99" s="7"/>
    </row>
    <row r="100" spans="1:26" ht="15.75" customHeight="1" x14ac:dyDescent="0.2">
      <c r="A100" s="32">
        <v>42198</v>
      </c>
      <c r="B100" s="4">
        <v>1</v>
      </c>
      <c r="C100" s="4" t="s">
        <v>16</v>
      </c>
      <c r="D100" s="33">
        <v>5542</v>
      </c>
      <c r="E100" s="12">
        <f t="shared" si="0"/>
        <v>6096.2000000000007</v>
      </c>
      <c r="F100" s="10">
        <f t="shared" si="1"/>
        <v>2</v>
      </c>
      <c r="G100" s="12">
        <f t="shared" si="2"/>
        <v>12192.400000000001</v>
      </c>
      <c r="H100" s="37" t="str">
        <f t="shared" si="3"/>
        <v>2015-07-13-1-A</v>
      </c>
      <c r="I100" s="38">
        <f>VLOOKUP(H100,'Historical Shipments'!$D$2:$E$10000,2,FALSE)</f>
        <v>20666.800000000003</v>
      </c>
      <c r="J100" s="10">
        <f t="shared" si="4"/>
        <v>22733.480000000007</v>
      </c>
      <c r="K100" s="12">
        <f t="shared" si="5"/>
        <v>34925.880000000005</v>
      </c>
      <c r="L100" s="39">
        <f t="array" ref="L100">INDEX('Carrier Rates'!$D$2:$D$1000, MATCH("X"&amp;"-"&amp;"A"&amp;"-"&amp;B100, 'Carrier Rates'!$E$2:$E$1000, 0))</f>
        <v>2540</v>
      </c>
      <c r="M100" s="13">
        <f t="array" ref="M100">INDEX('Carrier Rates'!$D$2:$D$1000, MATCH("Y"&amp;"-"&amp;"A"&amp;"-"&amp;B100, 'Carrier Rates'!$E$2:$E$1000, 0))</f>
        <v>0.12</v>
      </c>
      <c r="N100" s="11">
        <f t="shared" si="6"/>
        <v>2540</v>
      </c>
      <c r="O100" s="12">
        <f t="shared" si="7"/>
        <v>4191.1056000000008</v>
      </c>
      <c r="P100" s="12">
        <f t="shared" si="8"/>
        <v>2540</v>
      </c>
      <c r="Q100" s="37">
        <f t="shared" si="9"/>
        <v>0.8</v>
      </c>
      <c r="R100" s="12">
        <f t="shared" si="10"/>
        <v>4876.9600000000009</v>
      </c>
      <c r="S100" s="7"/>
      <c r="T100" s="7"/>
      <c r="U100" s="40">
        <f t="shared" si="11"/>
        <v>2540</v>
      </c>
      <c r="V100" s="43">
        <f t="shared" si="12"/>
        <v>2728.0176000000006</v>
      </c>
      <c r="W100" s="42">
        <f t="shared" si="13"/>
        <v>2540</v>
      </c>
      <c r="X100" s="7"/>
      <c r="Y100" s="7"/>
      <c r="Z100" s="7"/>
    </row>
    <row r="101" spans="1:26" ht="15.75" customHeight="1" x14ac:dyDescent="0.2">
      <c r="A101" s="32">
        <v>42198</v>
      </c>
      <c r="B101" s="4">
        <v>2</v>
      </c>
      <c r="C101" s="4" t="s">
        <v>16</v>
      </c>
      <c r="D101" s="33">
        <v>3776</v>
      </c>
      <c r="E101" s="12">
        <f t="shared" si="0"/>
        <v>4153.6000000000004</v>
      </c>
      <c r="F101" s="10">
        <f t="shared" si="1"/>
        <v>2</v>
      </c>
      <c r="G101" s="12">
        <f t="shared" si="2"/>
        <v>8307.2000000000007</v>
      </c>
      <c r="H101" s="37" t="str">
        <f t="shared" si="3"/>
        <v>2015-07-13-2-A</v>
      </c>
      <c r="I101" s="38">
        <f>VLOOKUP(H101,'Historical Shipments'!$D$2:$E$10000,2,FALSE)</f>
        <v>17739.2</v>
      </c>
      <c r="J101" s="10">
        <f t="shared" si="4"/>
        <v>19513.120000000003</v>
      </c>
      <c r="K101" s="12">
        <f t="shared" si="5"/>
        <v>27820.320000000003</v>
      </c>
      <c r="L101" s="39">
        <f t="array" ref="L101">INDEX('Carrier Rates'!$D$2:$D$1000, MATCH("X"&amp;"-"&amp;"A"&amp;"-"&amp;B101, 'Carrier Rates'!$E$2:$E$1000, 0))</f>
        <v>1640</v>
      </c>
      <c r="M101" s="13">
        <f t="array" ref="M101">INDEX('Carrier Rates'!$D$2:$D$1000, MATCH("Y"&amp;"-"&amp;"A"&amp;"-"&amp;B101, 'Carrier Rates'!$E$2:$E$1000, 0))</f>
        <v>7.0000000000000007E-2</v>
      </c>
      <c r="N101" s="11">
        <f t="shared" si="6"/>
        <v>1640</v>
      </c>
      <c r="O101" s="12">
        <f t="shared" si="7"/>
        <v>1947.4224000000004</v>
      </c>
      <c r="P101" s="12">
        <f t="shared" si="8"/>
        <v>1640</v>
      </c>
      <c r="Q101" s="37">
        <f t="shared" si="9"/>
        <v>0.8</v>
      </c>
      <c r="R101" s="12">
        <f t="shared" si="10"/>
        <v>3322.8800000000006</v>
      </c>
      <c r="S101" s="7"/>
      <c r="T101" s="7"/>
      <c r="U101" s="40">
        <f t="shared" si="11"/>
        <v>1640</v>
      </c>
      <c r="V101" s="43">
        <f t="shared" si="12"/>
        <v>1365.9184000000002</v>
      </c>
      <c r="W101" s="42">
        <f t="shared" si="13"/>
        <v>1365.9184000000002</v>
      </c>
      <c r="X101" s="7"/>
      <c r="Y101" s="7"/>
      <c r="Z101" s="7"/>
    </row>
    <row r="102" spans="1:26" ht="15.75" customHeight="1" x14ac:dyDescent="0.2">
      <c r="A102" s="32">
        <v>42205</v>
      </c>
      <c r="B102" s="4">
        <v>1</v>
      </c>
      <c r="C102" s="4" t="s">
        <v>16</v>
      </c>
      <c r="D102" s="33">
        <v>5355</v>
      </c>
      <c r="E102" s="12">
        <f t="shared" si="0"/>
        <v>5890.5000000000009</v>
      </c>
      <c r="F102" s="10">
        <f t="shared" si="1"/>
        <v>2</v>
      </c>
      <c r="G102" s="12">
        <f t="shared" si="2"/>
        <v>11781.000000000002</v>
      </c>
      <c r="H102" s="37" t="str">
        <f t="shared" si="3"/>
        <v>2015-07-20-1-A</v>
      </c>
      <c r="I102" s="38">
        <f>VLOOKUP(H102,'Historical Shipments'!$D$2:$E$10000,2,FALSE)</f>
        <v>19372.2</v>
      </c>
      <c r="J102" s="10">
        <f t="shared" si="4"/>
        <v>21309.420000000002</v>
      </c>
      <c r="K102" s="12">
        <f t="shared" si="5"/>
        <v>33090.420000000006</v>
      </c>
      <c r="L102" s="39">
        <f t="array" ref="L102">INDEX('Carrier Rates'!$D$2:$D$1000, MATCH("X"&amp;"-"&amp;"A"&amp;"-"&amp;B102, 'Carrier Rates'!$E$2:$E$1000, 0))</f>
        <v>2540</v>
      </c>
      <c r="M102" s="13">
        <f t="array" ref="M102">INDEX('Carrier Rates'!$D$2:$D$1000, MATCH("Y"&amp;"-"&amp;"A"&amp;"-"&amp;B102, 'Carrier Rates'!$E$2:$E$1000, 0))</f>
        <v>0.12</v>
      </c>
      <c r="N102" s="11">
        <f t="shared" si="6"/>
        <v>2540</v>
      </c>
      <c r="O102" s="12">
        <f t="shared" si="7"/>
        <v>3970.8504000000007</v>
      </c>
      <c r="P102" s="12">
        <f t="shared" si="8"/>
        <v>2540</v>
      </c>
      <c r="Q102" s="37">
        <f t="shared" si="9"/>
        <v>0.8</v>
      </c>
      <c r="R102" s="12">
        <f t="shared" si="10"/>
        <v>4712.4000000000005</v>
      </c>
      <c r="S102" s="7"/>
      <c r="T102" s="7"/>
      <c r="U102" s="40">
        <f t="shared" si="11"/>
        <v>2540</v>
      </c>
      <c r="V102" s="43">
        <f t="shared" si="12"/>
        <v>2557.1304</v>
      </c>
      <c r="W102" s="42">
        <f t="shared" si="13"/>
        <v>2540</v>
      </c>
      <c r="X102" s="7"/>
      <c r="Y102" s="7"/>
      <c r="Z102" s="7"/>
    </row>
    <row r="103" spans="1:26" ht="15.75" customHeight="1" x14ac:dyDescent="0.2">
      <c r="A103" s="32">
        <v>42205</v>
      </c>
      <c r="B103" s="4">
        <v>2</v>
      </c>
      <c r="C103" s="4" t="s">
        <v>16</v>
      </c>
      <c r="D103" s="33">
        <v>4522</v>
      </c>
      <c r="E103" s="12">
        <f t="shared" si="0"/>
        <v>4974.2000000000007</v>
      </c>
      <c r="F103" s="10">
        <f t="shared" si="1"/>
        <v>2</v>
      </c>
      <c r="G103" s="12">
        <f t="shared" si="2"/>
        <v>9948.4000000000015</v>
      </c>
      <c r="H103" s="37" t="str">
        <f t="shared" si="3"/>
        <v>2015-07-20-2-A</v>
      </c>
      <c r="I103" s="38">
        <f>VLOOKUP(H103,'Historical Shipments'!$D$2:$E$10000,2,FALSE)</f>
        <v>17366.800000000003</v>
      </c>
      <c r="J103" s="10">
        <f t="shared" si="4"/>
        <v>19103.480000000003</v>
      </c>
      <c r="K103" s="12">
        <f t="shared" si="5"/>
        <v>29051.880000000005</v>
      </c>
      <c r="L103" s="39">
        <f t="array" ref="L103">INDEX('Carrier Rates'!$D$2:$D$1000, MATCH("X"&amp;"-"&amp;"A"&amp;"-"&amp;B103, 'Carrier Rates'!$E$2:$E$1000, 0))</f>
        <v>1640</v>
      </c>
      <c r="M103" s="13">
        <f t="array" ref="M103">INDEX('Carrier Rates'!$D$2:$D$1000, MATCH("Y"&amp;"-"&amp;"A"&amp;"-"&amp;B103, 'Carrier Rates'!$E$2:$E$1000, 0))</f>
        <v>7.0000000000000007E-2</v>
      </c>
      <c r="N103" s="11">
        <f t="shared" si="6"/>
        <v>1640</v>
      </c>
      <c r="O103" s="12">
        <f t="shared" si="7"/>
        <v>2033.6316000000006</v>
      </c>
      <c r="P103" s="12">
        <f t="shared" si="8"/>
        <v>1640</v>
      </c>
      <c r="Q103" s="37">
        <f t="shared" si="9"/>
        <v>0.8</v>
      </c>
      <c r="R103" s="12">
        <f t="shared" si="10"/>
        <v>3979.3600000000006</v>
      </c>
      <c r="S103" s="7"/>
      <c r="T103" s="7"/>
      <c r="U103" s="40">
        <f t="shared" si="11"/>
        <v>1640</v>
      </c>
      <c r="V103" s="43">
        <f t="shared" si="12"/>
        <v>1337.2436000000002</v>
      </c>
      <c r="W103" s="42">
        <f t="shared" si="13"/>
        <v>1337.2436000000002</v>
      </c>
      <c r="X103" s="7"/>
      <c r="Y103" s="7"/>
      <c r="Z103" s="7"/>
    </row>
    <row r="104" spans="1:26" ht="15.75" customHeight="1" x14ac:dyDescent="0.2">
      <c r="A104" s="32">
        <v>42212</v>
      </c>
      <c r="B104" s="4">
        <v>1</v>
      </c>
      <c r="C104" s="4" t="s">
        <v>16</v>
      </c>
      <c r="D104" s="33">
        <v>5038</v>
      </c>
      <c r="E104" s="12">
        <f t="shared" si="0"/>
        <v>5541.8</v>
      </c>
      <c r="F104" s="10">
        <f t="shared" si="1"/>
        <v>2</v>
      </c>
      <c r="G104" s="12">
        <f t="shared" si="2"/>
        <v>11083.6</v>
      </c>
      <c r="H104" s="37" t="str">
        <f t="shared" si="3"/>
        <v>2015-07-27-1-A</v>
      </c>
      <c r="I104" s="38">
        <f>VLOOKUP(H104,'Historical Shipments'!$D$2:$E$10000,2,FALSE)</f>
        <v>18470.8</v>
      </c>
      <c r="J104" s="10">
        <f t="shared" si="4"/>
        <v>20317.88</v>
      </c>
      <c r="K104" s="12">
        <f t="shared" si="5"/>
        <v>31401.480000000003</v>
      </c>
      <c r="L104" s="39">
        <f t="array" ref="L104">INDEX('Carrier Rates'!$D$2:$D$1000, MATCH("X"&amp;"-"&amp;"A"&amp;"-"&amp;B104, 'Carrier Rates'!$E$2:$E$1000, 0))</f>
        <v>2540</v>
      </c>
      <c r="M104" s="13">
        <f t="array" ref="M104">INDEX('Carrier Rates'!$D$2:$D$1000, MATCH("Y"&amp;"-"&amp;"A"&amp;"-"&amp;B104, 'Carrier Rates'!$E$2:$E$1000, 0))</f>
        <v>0.12</v>
      </c>
      <c r="N104" s="11">
        <f t="shared" si="6"/>
        <v>2540</v>
      </c>
      <c r="O104" s="12">
        <f t="shared" si="7"/>
        <v>3768.1776000000004</v>
      </c>
      <c r="P104" s="12">
        <f t="shared" si="8"/>
        <v>2540</v>
      </c>
      <c r="Q104" s="37">
        <f t="shared" si="9"/>
        <v>0.8</v>
      </c>
      <c r="R104" s="12">
        <f t="shared" si="10"/>
        <v>4433.4400000000005</v>
      </c>
      <c r="S104" s="7"/>
      <c r="T104" s="7"/>
      <c r="U104" s="40">
        <f t="shared" si="11"/>
        <v>2540</v>
      </c>
      <c r="V104" s="43">
        <f t="shared" si="12"/>
        <v>2438.1455999999998</v>
      </c>
      <c r="W104" s="42">
        <f t="shared" si="13"/>
        <v>2438.1455999999998</v>
      </c>
      <c r="X104" s="7"/>
      <c r="Y104" s="7"/>
      <c r="Z104" s="7"/>
    </row>
    <row r="105" spans="1:26" ht="15.75" customHeight="1" x14ac:dyDescent="0.2">
      <c r="A105" s="32">
        <v>42212</v>
      </c>
      <c r="B105" s="4">
        <v>2</v>
      </c>
      <c r="C105" s="4" t="s">
        <v>16</v>
      </c>
      <c r="D105" s="33">
        <v>3924</v>
      </c>
      <c r="E105" s="12">
        <f t="shared" si="0"/>
        <v>4316.4000000000005</v>
      </c>
      <c r="F105" s="10">
        <f t="shared" si="1"/>
        <v>2</v>
      </c>
      <c r="G105" s="12">
        <f t="shared" si="2"/>
        <v>8632.8000000000011</v>
      </c>
      <c r="H105" s="37" t="str">
        <f t="shared" si="3"/>
        <v>2015-07-27-2-A</v>
      </c>
      <c r="I105" s="38">
        <f>VLOOKUP(H105,'Historical Shipments'!$D$2:$E$10000,2,FALSE)</f>
        <v>17474.400000000001</v>
      </c>
      <c r="J105" s="10">
        <f t="shared" si="4"/>
        <v>19221.840000000004</v>
      </c>
      <c r="K105" s="12">
        <f t="shared" si="5"/>
        <v>27854.640000000007</v>
      </c>
      <c r="L105" s="39">
        <f t="array" ref="L105">INDEX('Carrier Rates'!$D$2:$D$1000, MATCH("X"&amp;"-"&amp;"A"&amp;"-"&amp;B105, 'Carrier Rates'!$E$2:$E$1000, 0))</f>
        <v>1640</v>
      </c>
      <c r="M105" s="13">
        <f t="array" ref="M105">INDEX('Carrier Rates'!$D$2:$D$1000, MATCH("Y"&amp;"-"&amp;"A"&amp;"-"&amp;B105, 'Carrier Rates'!$E$2:$E$1000, 0))</f>
        <v>7.0000000000000007E-2</v>
      </c>
      <c r="N105" s="11">
        <f t="shared" si="6"/>
        <v>1640</v>
      </c>
      <c r="O105" s="12">
        <f t="shared" si="7"/>
        <v>1949.8248000000006</v>
      </c>
      <c r="P105" s="12">
        <f t="shared" si="8"/>
        <v>1640</v>
      </c>
      <c r="Q105" s="37">
        <f t="shared" si="9"/>
        <v>0.8</v>
      </c>
      <c r="R105" s="12">
        <f t="shared" si="10"/>
        <v>3453.1200000000008</v>
      </c>
      <c r="S105" s="7"/>
      <c r="T105" s="7"/>
      <c r="U105" s="40">
        <f t="shared" si="11"/>
        <v>1640</v>
      </c>
      <c r="V105" s="43">
        <f t="shared" si="12"/>
        <v>1345.5288000000005</v>
      </c>
      <c r="W105" s="42">
        <f t="shared" si="13"/>
        <v>1345.5288000000005</v>
      </c>
      <c r="X105" s="7"/>
      <c r="Y105" s="7"/>
      <c r="Z105" s="7"/>
    </row>
    <row r="106" spans="1:26" ht="15.75" customHeight="1" x14ac:dyDescent="0.2">
      <c r="A106" s="22"/>
      <c r="B106" s="7"/>
      <c r="C106" s="7"/>
      <c r="D106" s="21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3" t="s">
        <v>48</v>
      </c>
      <c r="W106" s="42">
        <f>SUM(W1:W105)</f>
        <v>172594.28600000002</v>
      </c>
      <c r="X106" s="7"/>
      <c r="Y106" s="7"/>
      <c r="Z106" s="7"/>
    </row>
    <row r="107" spans="1:26" ht="15.75" customHeight="1" x14ac:dyDescent="0.2">
      <c r="A107" s="22"/>
      <c r="B107" s="7"/>
      <c r="C107" s="7"/>
      <c r="D107" s="23"/>
      <c r="E107" s="7"/>
      <c r="F107" s="7"/>
      <c r="G107" s="7"/>
      <c r="H107" s="7"/>
      <c r="I107" s="7"/>
      <c r="J107" s="7"/>
      <c r="K107" s="44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42"/>
      <c r="X107" s="45"/>
      <c r="Y107" s="7"/>
      <c r="Z107" s="7"/>
    </row>
    <row r="108" spans="1:26" ht="15.75" customHeight="1" x14ac:dyDescent="0.2">
      <c r="A108" s="22"/>
      <c r="B108" s="7"/>
      <c r="C108" s="7"/>
      <c r="D108" s="21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42"/>
      <c r="X108" s="7"/>
      <c r="Y108" s="7"/>
      <c r="Z108" s="7"/>
    </row>
    <row r="109" spans="1:26" ht="15.75" customHeight="1" x14ac:dyDescent="0.2">
      <c r="A109" s="22"/>
      <c r="B109" s="7"/>
      <c r="C109" s="7"/>
      <c r="D109" s="21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42"/>
      <c r="X109" s="7"/>
      <c r="Y109" s="7"/>
      <c r="Z109" s="7"/>
    </row>
    <row r="110" spans="1:26" ht="15.75" customHeight="1" x14ac:dyDescent="0.2">
      <c r="A110" s="22"/>
      <c r="B110" s="7"/>
      <c r="C110" s="7"/>
      <c r="D110" s="21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42"/>
      <c r="X110" s="7"/>
      <c r="Y110" s="7"/>
      <c r="Z110" s="7"/>
    </row>
    <row r="111" spans="1:26" ht="15.75" customHeight="1" x14ac:dyDescent="0.2">
      <c r="A111" s="22"/>
      <c r="B111" s="7"/>
      <c r="C111" s="7"/>
      <c r="D111" s="21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42"/>
      <c r="X111" s="7"/>
      <c r="Y111" s="7"/>
      <c r="Z111" s="7"/>
    </row>
    <row r="112" spans="1:26" ht="15.75" customHeight="1" x14ac:dyDescent="0.2">
      <c r="A112" s="22"/>
      <c r="B112" s="7"/>
      <c r="C112" s="7"/>
      <c r="D112" s="21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42"/>
      <c r="X112" s="7"/>
      <c r="Y112" s="7"/>
      <c r="Z112" s="7"/>
    </row>
    <row r="113" spans="1:26" ht="15.75" customHeight="1" x14ac:dyDescent="0.2">
      <c r="A113" s="22"/>
      <c r="B113" s="7"/>
      <c r="C113" s="7"/>
      <c r="D113" s="21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42"/>
      <c r="X113" s="7"/>
      <c r="Y113" s="7"/>
      <c r="Z113" s="7"/>
    </row>
    <row r="114" spans="1:26" ht="15.75" customHeight="1" x14ac:dyDescent="0.2">
      <c r="A114" s="22"/>
      <c r="B114" s="7"/>
      <c r="C114" s="7"/>
      <c r="D114" s="21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42"/>
      <c r="X114" s="7"/>
      <c r="Y114" s="7"/>
      <c r="Z114" s="7"/>
    </row>
    <row r="115" spans="1:26" ht="15.75" customHeight="1" x14ac:dyDescent="0.2">
      <c r="A115" s="22"/>
      <c r="B115" s="7"/>
      <c r="C115" s="7"/>
      <c r="D115" s="21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42"/>
      <c r="X115" s="7"/>
      <c r="Y115" s="7"/>
      <c r="Z115" s="7"/>
    </row>
    <row r="116" spans="1:26" ht="15.75" customHeight="1" x14ac:dyDescent="0.2">
      <c r="A116" s="22"/>
      <c r="B116" s="7"/>
      <c r="C116" s="7"/>
      <c r="D116" s="21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42"/>
      <c r="X116" s="7"/>
      <c r="Y116" s="7"/>
      <c r="Z116" s="7"/>
    </row>
    <row r="117" spans="1:26" ht="15.75" customHeight="1" x14ac:dyDescent="0.2">
      <c r="A117" s="22"/>
      <c r="B117" s="7"/>
      <c r="C117" s="7"/>
      <c r="D117" s="21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42"/>
      <c r="X117" s="7"/>
      <c r="Y117" s="7"/>
      <c r="Z117" s="7"/>
    </row>
    <row r="118" spans="1:26" ht="15.75" customHeight="1" x14ac:dyDescent="0.2">
      <c r="A118" s="22"/>
      <c r="B118" s="7"/>
      <c r="C118" s="7"/>
      <c r="D118" s="21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42"/>
      <c r="X118" s="7"/>
      <c r="Y118" s="7"/>
      <c r="Z118" s="7"/>
    </row>
    <row r="119" spans="1:26" ht="15.75" customHeight="1" x14ac:dyDescent="0.2">
      <c r="A119" s="22"/>
      <c r="B119" s="7"/>
      <c r="C119" s="7"/>
      <c r="D119" s="21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42"/>
      <c r="X119" s="7"/>
      <c r="Y119" s="7"/>
      <c r="Z119" s="7"/>
    </row>
    <row r="120" spans="1:26" ht="15.75" customHeight="1" x14ac:dyDescent="0.2">
      <c r="A120" s="22"/>
      <c r="B120" s="7"/>
      <c r="C120" s="7"/>
      <c r="D120" s="21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42"/>
      <c r="X120" s="7"/>
      <c r="Y120" s="7"/>
      <c r="Z120" s="7"/>
    </row>
    <row r="121" spans="1:26" ht="15.75" customHeight="1" x14ac:dyDescent="0.2">
      <c r="A121" s="22"/>
      <c r="B121" s="7"/>
      <c r="C121" s="7"/>
      <c r="D121" s="21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2"/>
      <c r="X121" s="7"/>
      <c r="Y121" s="7"/>
      <c r="Z121" s="7"/>
    </row>
    <row r="122" spans="1:26" ht="15.75" customHeight="1" x14ac:dyDescent="0.2">
      <c r="A122" s="22"/>
      <c r="B122" s="7"/>
      <c r="C122" s="7"/>
      <c r="D122" s="21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42"/>
      <c r="X122" s="7"/>
      <c r="Y122" s="7"/>
      <c r="Z122" s="7"/>
    </row>
    <row r="123" spans="1:26" ht="15.75" customHeight="1" x14ac:dyDescent="0.2">
      <c r="A123" s="22"/>
      <c r="B123" s="7"/>
      <c r="C123" s="7"/>
      <c r="D123" s="21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2"/>
      <c r="X123" s="7"/>
      <c r="Y123" s="7"/>
      <c r="Z123" s="7"/>
    </row>
    <row r="124" spans="1:26" ht="15.75" customHeight="1" x14ac:dyDescent="0.2">
      <c r="A124" s="22"/>
      <c r="B124" s="7"/>
      <c r="C124" s="7"/>
      <c r="D124" s="21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42"/>
      <c r="X124" s="7"/>
      <c r="Y124" s="7"/>
      <c r="Z124" s="7"/>
    </row>
    <row r="125" spans="1:26" ht="15.75" customHeight="1" x14ac:dyDescent="0.2">
      <c r="A125" s="22"/>
      <c r="B125" s="7"/>
      <c r="C125" s="7"/>
      <c r="D125" s="21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42"/>
      <c r="X125" s="7"/>
      <c r="Y125" s="7"/>
      <c r="Z125" s="7"/>
    </row>
    <row r="126" spans="1:26" ht="15.75" customHeight="1" x14ac:dyDescent="0.2">
      <c r="A126" s="22"/>
      <c r="B126" s="7"/>
      <c r="C126" s="7"/>
      <c r="D126" s="21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42"/>
      <c r="X126" s="7"/>
      <c r="Y126" s="7"/>
      <c r="Z126" s="7"/>
    </row>
    <row r="127" spans="1:26" ht="15.75" customHeight="1" x14ac:dyDescent="0.2">
      <c r="A127" s="22"/>
      <c r="B127" s="7"/>
      <c r="C127" s="7"/>
      <c r="D127" s="21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42"/>
      <c r="X127" s="7"/>
      <c r="Y127" s="7"/>
      <c r="Z127" s="7"/>
    </row>
    <row r="128" spans="1:26" ht="15.75" customHeight="1" x14ac:dyDescent="0.2">
      <c r="A128" s="22"/>
      <c r="B128" s="7"/>
      <c r="C128" s="7"/>
      <c r="D128" s="21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42"/>
      <c r="X128" s="7"/>
      <c r="Y128" s="7"/>
      <c r="Z128" s="7"/>
    </row>
    <row r="129" spans="1:26" ht="15.75" customHeight="1" x14ac:dyDescent="0.2">
      <c r="A129" s="22"/>
      <c r="B129" s="7"/>
      <c r="C129" s="7"/>
      <c r="D129" s="21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42"/>
      <c r="X129" s="7"/>
      <c r="Y129" s="7"/>
      <c r="Z129" s="7"/>
    </row>
    <row r="130" spans="1:26" ht="15.75" customHeight="1" x14ac:dyDescent="0.2">
      <c r="A130" s="22"/>
      <c r="B130" s="7"/>
      <c r="C130" s="7"/>
      <c r="D130" s="21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42"/>
      <c r="X130" s="7"/>
      <c r="Y130" s="7"/>
      <c r="Z130" s="7"/>
    </row>
    <row r="131" spans="1:26" ht="15.75" customHeight="1" x14ac:dyDescent="0.2">
      <c r="A131" s="22"/>
      <c r="B131" s="7"/>
      <c r="C131" s="7"/>
      <c r="D131" s="21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42"/>
      <c r="X131" s="7"/>
      <c r="Y131" s="7"/>
      <c r="Z131" s="7"/>
    </row>
    <row r="132" spans="1:26" ht="15.75" customHeight="1" x14ac:dyDescent="0.2">
      <c r="A132" s="22"/>
      <c r="B132" s="7"/>
      <c r="C132" s="7"/>
      <c r="D132" s="21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2"/>
      <c r="X132" s="7"/>
      <c r="Y132" s="7"/>
      <c r="Z132" s="7"/>
    </row>
    <row r="133" spans="1:26" ht="15.75" customHeight="1" x14ac:dyDescent="0.2">
      <c r="A133" s="22"/>
      <c r="B133" s="7"/>
      <c r="C133" s="7"/>
      <c r="D133" s="21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42"/>
      <c r="X133" s="7"/>
      <c r="Y133" s="7"/>
      <c r="Z133" s="7"/>
    </row>
    <row r="134" spans="1:26" ht="15.75" customHeight="1" x14ac:dyDescent="0.2">
      <c r="A134" s="22"/>
      <c r="B134" s="7"/>
      <c r="C134" s="7"/>
      <c r="D134" s="21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42"/>
      <c r="X134" s="7"/>
      <c r="Y134" s="7"/>
      <c r="Z134" s="7"/>
    </row>
    <row r="135" spans="1:26" ht="15.75" customHeight="1" x14ac:dyDescent="0.2">
      <c r="A135" s="22"/>
      <c r="B135" s="7"/>
      <c r="C135" s="7"/>
      <c r="D135" s="21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42"/>
      <c r="X135" s="7"/>
      <c r="Y135" s="7"/>
      <c r="Z135" s="7"/>
    </row>
    <row r="136" spans="1:26" ht="15.75" customHeight="1" x14ac:dyDescent="0.2">
      <c r="A136" s="22"/>
      <c r="B136" s="7"/>
      <c r="C136" s="7"/>
      <c r="D136" s="21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42"/>
      <c r="X136" s="7"/>
      <c r="Y136" s="7"/>
      <c r="Z136" s="7"/>
    </row>
    <row r="137" spans="1:26" ht="15.75" customHeight="1" x14ac:dyDescent="0.2">
      <c r="A137" s="22"/>
      <c r="B137" s="7"/>
      <c r="C137" s="7"/>
      <c r="D137" s="21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42"/>
      <c r="X137" s="7"/>
      <c r="Y137" s="7"/>
      <c r="Z137" s="7"/>
    </row>
    <row r="138" spans="1:26" ht="15.75" customHeight="1" x14ac:dyDescent="0.2">
      <c r="A138" s="22"/>
      <c r="B138" s="7"/>
      <c r="C138" s="7"/>
      <c r="D138" s="21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42"/>
      <c r="X138" s="7"/>
      <c r="Y138" s="7"/>
      <c r="Z138" s="7"/>
    </row>
    <row r="139" spans="1:26" ht="15.75" customHeight="1" x14ac:dyDescent="0.2">
      <c r="A139" s="22"/>
      <c r="B139" s="7"/>
      <c r="C139" s="7"/>
      <c r="D139" s="21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42"/>
      <c r="X139" s="7"/>
      <c r="Y139" s="7"/>
      <c r="Z139" s="7"/>
    </row>
    <row r="140" spans="1:26" ht="15.75" customHeight="1" x14ac:dyDescent="0.2">
      <c r="A140" s="22"/>
      <c r="B140" s="7"/>
      <c r="C140" s="7"/>
      <c r="D140" s="21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42"/>
      <c r="X140" s="7"/>
      <c r="Y140" s="7"/>
      <c r="Z140" s="7"/>
    </row>
    <row r="141" spans="1:26" ht="15.75" customHeight="1" x14ac:dyDescent="0.2">
      <c r="A141" s="22"/>
      <c r="B141" s="7"/>
      <c r="C141" s="7"/>
      <c r="D141" s="21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42"/>
      <c r="X141" s="7"/>
      <c r="Y141" s="7"/>
      <c r="Z141" s="7"/>
    </row>
    <row r="142" spans="1:26" ht="15.75" customHeight="1" x14ac:dyDescent="0.2">
      <c r="A142" s="22"/>
      <c r="B142" s="7"/>
      <c r="C142" s="7"/>
      <c r="D142" s="21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42"/>
      <c r="X142" s="7"/>
      <c r="Y142" s="7"/>
      <c r="Z142" s="7"/>
    </row>
    <row r="143" spans="1:26" ht="15.75" customHeight="1" x14ac:dyDescent="0.2">
      <c r="A143" s="22"/>
      <c r="B143" s="7"/>
      <c r="C143" s="7"/>
      <c r="D143" s="21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42"/>
      <c r="X143" s="7"/>
      <c r="Y143" s="7"/>
      <c r="Z143" s="7"/>
    </row>
    <row r="144" spans="1:26" ht="15.75" customHeight="1" x14ac:dyDescent="0.2">
      <c r="A144" s="22"/>
      <c r="B144" s="7"/>
      <c r="C144" s="7"/>
      <c r="D144" s="21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42"/>
      <c r="X144" s="7"/>
      <c r="Y144" s="7"/>
      <c r="Z144" s="7"/>
    </row>
    <row r="145" spans="1:26" ht="15.75" customHeight="1" x14ac:dyDescent="0.2">
      <c r="A145" s="22"/>
      <c r="B145" s="7"/>
      <c r="C145" s="7"/>
      <c r="D145" s="21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42"/>
      <c r="X145" s="7"/>
      <c r="Y145" s="7"/>
      <c r="Z145" s="7"/>
    </row>
    <row r="146" spans="1:26" ht="15.75" customHeight="1" x14ac:dyDescent="0.2">
      <c r="A146" s="22"/>
      <c r="B146" s="7"/>
      <c r="C146" s="7"/>
      <c r="D146" s="21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42"/>
      <c r="X146" s="7"/>
      <c r="Y146" s="7"/>
      <c r="Z146" s="7"/>
    </row>
    <row r="147" spans="1:26" ht="15.75" customHeight="1" x14ac:dyDescent="0.2">
      <c r="A147" s="22"/>
      <c r="B147" s="7"/>
      <c r="C147" s="7"/>
      <c r="D147" s="21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42"/>
      <c r="X147" s="7"/>
      <c r="Y147" s="7"/>
      <c r="Z147" s="7"/>
    </row>
    <row r="148" spans="1:26" ht="15.75" customHeight="1" x14ac:dyDescent="0.2">
      <c r="A148" s="22"/>
      <c r="B148" s="7"/>
      <c r="C148" s="7"/>
      <c r="D148" s="21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42"/>
      <c r="X148" s="7"/>
      <c r="Y148" s="7"/>
      <c r="Z148" s="7"/>
    </row>
    <row r="149" spans="1:26" ht="15.75" customHeight="1" x14ac:dyDescent="0.2">
      <c r="A149" s="22"/>
      <c r="B149" s="7"/>
      <c r="C149" s="7"/>
      <c r="D149" s="21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42"/>
      <c r="X149" s="7"/>
      <c r="Y149" s="7"/>
      <c r="Z149" s="7"/>
    </row>
    <row r="150" spans="1:26" ht="15.75" customHeight="1" x14ac:dyDescent="0.2">
      <c r="A150" s="22"/>
      <c r="B150" s="7"/>
      <c r="C150" s="7"/>
      <c r="D150" s="21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42"/>
      <c r="X150" s="7"/>
      <c r="Y150" s="7"/>
      <c r="Z150" s="7"/>
    </row>
    <row r="151" spans="1:26" ht="15.75" customHeight="1" x14ac:dyDescent="0.2">
      <c r="A151" s="22"/>
      <c r="B151" s="7"/>
      <c r="C151" s="7"/>
      <c r="D151" s="21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42"/>
      <c r="X151" s="7"/>
      <c r="Y151" s="7"/>
      <c r="Z151" s="7"/>
    </row>
    <row r="152" spans="1:26" ht="15.75" customHeight="1" x14ac:dyDescent="0.2">
      <c r="A152" s="22"/>
      <c r="B152" s="7"/>
      <c r="C152" s="7"/>
      <c r="D152" s="21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42"/>
      <c r="X152" s="7"/>
      <c r="Y152" s="7"/>
      <c r="Z152" s="7"/>
    </row>
    <row r="153" spans="1:26" ht="15.75" customHeight="1" x14ac:dyDescent="0.2">
      <c r="A153" s="22"/>
      <c r="B153" s="7"/>
      <c r="C153" s="7"/>
      <c r="D153" s="21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42"/>
      <c r="X153" s="7"/>
      <c r="Y153" s="7"/>
      <c r="Z153" s="7"/>
    </row>
    <row r="154" spans="1:26" ht="15.75" customHeight="1" x14ac:dyDescent="0.2">
      <c r="A154" s="22"/>
      <c r="B154" s="7"/>
      <c r="C154" s="7"/>
      <c r="D154" s="21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42"/>
      <c r="X154" s="7"/>
      <c r="Y154" s="7"/>
      <c r="Z154" s="7"/>
    </row>
    <row r="155" spans="1:26" ht="15.75" customHeight="1" x14ac:dyDescent="0.2">
      <c r="A155" s="22"/>
      <c r="B155" s="7"/>
      <c r="C155" s="7"/>
      <c r="D155" s="21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42"/>
      <c r="X155" s="7"/>
      <c r="Y155" s="7"/>
      <c r="Z155" s="7"/>
    </row>
    <row r="156" spans="1:26" ht="15.75" customHeight="1" x14ac:dyDescent="0.2">
      <c r="A156" s="22"/>
      <c r="B156" s="7"/>
      <c r="C156" s="7"/>
      <c r="D156" s="21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42"/>
      <c r="X156" s="7"/>
      <c r="Y156" s="7"/>
      <c r="Z156" s="7"/>
    </row>
    <row r="157" spans="1:26" ht="15.75" customHeight="1" x14ac:dyDescent="0.2">
      <c r="A157" s="22"/>
      <c r="B157" s="7"/>
      <c r="C157" s="7"/>
      <c r="D157" s="21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42"/>
      <c r="X157" s="7"/>
      <c r="Y157" s="7"/>
      <c r="Z157" s="7"/>
    </row>
    <row r="158" spans="1:26" ht="15.75" customHeight="1" x14ac:dyDescent="0.2">
      <c r="A158" s="22"/>
      <c r="B158" s="7"/>
      <c r="C158" s="7"/>
      <c r="D158" s="21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42"/>
      <c r="X158" s="7"/>
      <c r="Y158" s="7"/>
      <c r="Z158" s="7"/>
    </row>
    <row r="159" spans="1:26" ht="15.75" customHeight="1" x14ac:dyDescent="0.2">
      <c r="A159" s="22"/>
      <c r="B159" s="7"/>
      <c r="C159" s="7"/>
      <c r="D159" s="21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42"/>
      <c r="X159" s="7"/>
      <c r="Y159" s="7"/>
      <c r="Z159" s="7"/>
    </row>
    <row r="160" spans="1:26" ht="15.75" customHeight="1" x14ac:dyDescent="0.2">
      <c r="A160" s="22"/>
      <c r="B160" s="7"/>
      <c r="C160" s="7"/>
      <c r="D160" s="21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42"/>
      <c r="X160" s="7"/>
      <c r="Y160" s="7"/>
      <c r="Z160" s="7"/>
    </row>
    <row r="161" spans="1:26" ht="15.75" customHeight="1" x14ac:dyDescent="0.2">
      <c r="A161" s="22"/>
      <c r="B161" s="7"/>
      <c r="C161" s="7"/>
      <c r="D161" s="21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42"/>
      <c r="X161" s="7"/>
      <c r="Y161" s="7"/>
      <c r="Z161" s="7"/>
    </row>
    <row r="162" spans="1:26" ht="15.75" customHeight="1" x14ac:dyDescent="0.2">
      <c r="A162" s="22"/>
      <c r="B162" s="7"/>
      <c r="C162" s="7"/>
      <c r="D162" s="21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42"/>
      <c r="X162" s="7"/>
      <c r="Y162" s="7"/>
      <c r="Z162" s="7"/>
    </row>
    <row r="163" spans="1:26" ht="15.75" customHeight="1" x14ac:dyDescent="0.2">
      <c r="A163" s="22"/>
      <c r="B163" s="7"/>
      <c r="C163" s="7"/>
      <c r="D163" s="21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42"/>
      <c r="X163" s="7"/>
      <c r="Y163" s="7"/>
      <c r="Z163" s="7"/>
    </row>
    <row r="164" spans="1:26" ht="15.75" customHeight="1" x14ac:dyDescent="0.2">
      <c r="A164" s="22"/>
      <c r="B164" s="7"/>
      <c r="C164" s="7"/>
      <c r="D164" s="21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2"/>
      <c r="X164" s="7"/>
      <c r="Y164" s="7"/>
      <c r="Z164" s="7"/>
    </row>
    <row r="165" spans="1:26" ht="15.75" customHeight="1" x14ac:dyDescent="0.2">
      <c r="A165" s="22"/>
      <c r="B165" s="7"/>
      <c r="C165" s="7"/>
      <c r="D165" s="21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2"/>
      <c r="X165" s="7"/>
      <c r="Y165" s="7"/>
      <c r="Z165" s="7"/>
    </row>
    <row r="166" spans="1:26" ht="15.75" customHeight="1" x14ac:dyDescent="0.2">
      <c r="A166" s="22"/>
      <c r="B166" s="7"/>
      <c r="C166" s="7"/>
      <c r="D166" s="21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42"/>
      <c r="X166" s="7"/>
      <c r="Y166" s="7"/>
      <c r="Z166" s="7"/>
    </row>
    <row r="167" spans="1:26" ht="15.75" customHeight="1" x14ac:dyDescent="0.2">
      <c r="A167" s="22"/>
      <c r="B167" s="7"/>
      <c r="C167" s="7"/>
      <c r="D167" s="21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42"/>
      <c r="X167" s="7"/>
      <c r="Y167" s="7"/>
      <c r="Z167" s="7"/>
    </row>
    <row r="168" spans="1:26" ht="15.75" customHeight="1" x14ac:dyDescent="0.2">
      <c r="A168" s="22"/>
      <c r="B168" s="7"/>
      <c r="C168" s="7"/>
      <c r="D168" s="21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42"/>
      <c r="X168" s="7"/>
      <c r="Y168" s="7"/>
      <c r="Z168" s="7"/>
    </row>
    <row r="169" spans="1:26" ht="15.75" customHeight="1" x14ac:dyDescent="0.2">
      <c r="A169" s="22"/>
      <c r="B169" s="7"/>
      <c r="C169" s="7"/>
      <c r="D169" s="21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42"/>
      <c r="X169" s="7"/>
      <c r="Y169" s="7"/>
      <c r="Z169" s="7"/>
    </row>
    <row r="170" spans="1:26" ht="15.75" customHeight="1" x14ac:dyDescent="0.2">
      <c r="A170" s="22"/>
      <c r="B170" s="7"/>
      <c r="C170" s="7"/>
      <c r="D170" s="21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42"/>
      <c r="X170" s="7"/>
      <c r="Y170" s="7"/>
      <c r="Z170" s="7"/>
    </row>
    <row r="171" spans="1:26" ht="15.75" customHeight="1" x14ac:dyDescent="0.2">
      <c r="A171" s="22"/>
      <c r="B171" s="7"/>
      <c r="C171" s="7"/>
      <c r="D171" s="21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42"/>
      <c r="X171" s="7"/>
      <c r="Y171" s="7"/>
      <c r="Z171" s="7"/>
    </row>
    <row r="172" spans="1:26" ht="15.75" customHeight="1" x14ac:dyDescent="0.2">
      <c r="A172" s="22"/>
      <c r="B172" s="7"/>
      <c r="C172" s="7"/>
      <c r="D172" s="21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42"/>
      <c r="X172" s="7"/>
      <c r="Y172" s="7"/>
      <c r="Z172" s="7"/>
    </row>
    <row r="173" spans="1:26" ht="15.75" customHeight="1" x14ac:dyDescent="0.2">
      <c r="A173" s="22"/>
      <c r="B173" s="7"/>
      <c r="C173" s="7"/>
      <c r="D173" s="21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42"/>
      <c r="X173" s="7"/>
      <c r="Y173" s="7"/>
      <c r="Z173" s="7"/>
    </row>
    <row r="174" spans="1:26" ht="15.75" customHeight="1" x14ac:dyDescent="0.2">
      <c r="A174" s="22"/>
      <c r="B174" s="7"/>
      <c r="C174" s="7"/>
      <c r="D174" s="21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42"/>
      <c r="X174" s="7"/>
      <c r="Y174" s="7"/>
      <c r="Z174" s="7"/>
    </row>
    <row r="175" spans="1:26" ht="15.75" customHeight="1" x14ac:dyDescent="0.2">
      <c r="A175" s="22"/>
      <c r="B175" s="7"/>
      <c r="C175" s="7"/>
      <c r="D175" s="21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42"/>
      <c r="X175" s="7"/>
      <c r="Y175" s="7"/>
      <c r="Z175" s="7"/>
    </row>
    <row r="176" spans="1:26" ht="15.75" customHeight="1" x14ac:dyDescent="0.2">
      <c r="A176" s="22"/>
      <c r="B176" s="7"/>
      <c r="C176" s="7"/>
      <c r="D176" s="21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42"/>
      <c r="X176" s="7"/>
      <c r="Y176" s="7"/>
      <c r="Z176" s="7"/>
    </row>
    <row r="177" spans="1:26" ht="15.75" customHeight="1" x14ac:dyDescent="0.2">
      <c r="A177" s="22"/>
      <c r="B177" s="7"/>
      <c r="C177" s="7"/>
      <c r="D177" s="21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42"/>
      <c r="X177" s="7"/>
      <c r="Y177" s="7"/>
      <c r="Z177" s="7"/>
    </row>
    <row r="178" spans="1:26" ht="15.75" customHeight="1" x14ac:dyDescent="0.2">
      <c r="A178" s="22"/>
      <c r="B178" s="7"/>
      <c r="C178" s="7"/>
      <c r="D178" s="21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42"/>
      <c r="X178" s="7"/>
      <c r="Y178" s="7"/>
      <c r="Z178" s="7"/>
    </row>
    <row r="179" spans="1:26" ht="15.75" customHeight="1" x14ac:dyDescent="0.2">
      <c r="A179" s="22"/>
      <c r="B179" s="7"/>
      <c r="C179" s="7"/>
      <c r="D179" s="21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42"/>
      <c r="X179" s="7"/>
      <c r="Y179" s="7"/>
      <c r="Z179" s="7"/>
    </row>
    <row r="180" spans="1:26" ht="15.75" customHeight="1" x14ac:dyDescent="0.2">
      <c r="A180" s="22"/>
      <c r="B180" s="7"/>
      <c r="C180" s="7"/>
      <c r="D180" s="21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42"/>
      <c r="X180" s="7"/>
      <c r="Y180" s="7"/>
      <c r="Z180" s="7"/>
    </row>
    <row r="181" spans="1:26" ht="15.75" customHeight="1" x14ac:dyDescent="0.2">
      <c r="A181" s="22"/>
      <c r="B181" s="7"/>
      <c r="C181" s="7"/>
      <c r="D181" s="21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42"/>
      <c r="X181" s="7"/>
      <c r="Y181" s="7"/>
      <c r="Z181" s="7"/>
    </row>
    <row r="182" spans="1:26" ht="15.75" customHeight="1" x14ac:dyDescent="0.2">
      <c r="A182" s="22"/>
      <c r="B182" s="7"/>
      <c r="C182" s="7"/>
      <c r="D182" s="21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2"/>
      <c r="X182" s="7"/>
      <c r="Y182" s="7"/>
      <c r="Z182" s="7"/>
    </row>
    <row r="183" spans="1:26" ht="15.75" customHeight="1" x14ac:dyDescent="0.2">
      <c r="A183" s="22"/>
      <c r="B183" s="7"/>
      <c r="C183" s="7"/>
      <c r="D183" s="21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2"/>
      <c r="X183" s="7"/>
      <c r="Y183" s="7"/>
      <c r="Z183" s="7"/>
    </row>
    <row r="184" spans="1:26" ht="15.75" customHeight="1" x14ac:dyDescent="0.2">
      <c r="A184" s="22"/>
      <c r="B184" s="7"/>
      <c r="C184" s="7"/>
      <c r="D184" s="21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42"/>
      <c r="X184" s="7"/>
      <c r="Y184" s="7"/>
      <c r="Z184" s="7"/>
    </row>
    <row r="185" spans="1:26" ht="15.75" customHeight="1" x14ac:dyDescent="0.2">
      <c r="A185" s="22"/>
      <c r="B185" s="7"/>
      <c r="C185" s="7"/>
      <c r="D185" s="21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42"/>
      <c r="X185" s="7"/>
      <c r="Y185" s="7"/>
      <c r="Z185" s="7"/>
    </row>
    <row r="186" spans="1:26" ht="15.75" customHeight="1" x14ac:dyDescent="0.2">
      <c r="A186" s="22"/>
      <c r="B186" s="7"/>
      <c r="C186" s="7"/>
      <c r="D186" s="21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42"/>
      <c r="X186" s="7"/>
      <c r="Y186" s="7"/>
      <c r="Z186" s="7"/>
    </row>
    <row r="187" spans="1:26" ht="15.75" customHeight="1" x14ac:dyDescent="0.2">
      <c r="A187" s="22"/>
      <c r="B187" s="7"/>
      <c r="C187" s="7"/>
      <c r="D187" s="21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42"/>
      <c r="X187" s="7"/>
      <c r="Y187" s="7"/>
      <c r="Z187" s="7"/>
    </row>
    <row r="188" spans="1:26" ht="15.75" customHeight="1" x14ac:dyDescent="0.2">
      <c r="A188" s="22"/>
      <c r="B188" s="7"/>
      <c r="C188" s="7"/>
      <c r="D188" s="21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42"/>
      <c r="X188" s="7"/>
      <c r="Y188" s="7"/>
      <c r="Z188" s="7"/>
    </row>
    <row r="189" spans="1:26" ht="15.75" customHeight="1" x14ac:dyDescent="0.2">
      <c r="A189" s="22"/>
      <c r="B189" s="7"/>
      <c r="C189" s="7"/>
      <c r="D189" s="2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42"/>
      <c r="X189" s="7"/>
      <c r="Y189" s="7"/>
      <c r="Z189" s="7"/>
    </row>
    <row r="190" spans="1:26" ht="15.75" customHeight="1" x14ac:dyDescent="0.2">
      <c r="A190" s="22"/>
      <c r="B190" s="7"/>
      <c r="C190" s="7"/>
      <c r="D190" s="21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42"/>
      <c r="X190" s="7"/>
      <c r="Y190" s="7"/>
      <c r="Z190" s="7"/>
    </row>
    <row r="191" spans="1:26" ht="15.75" customHeight="1" x14ac:dyDescent="0.2">
      <c r="A191" s="22"/>
      <c r="B191" s="7"/>
      <c r="C191" s="7"/>
      <c r="D191" s="21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42"/>
      <c r="X191" s="7"/>
      <c r="Y191" s="7"/>
      <c r="Z191" s="7"/>
    </row>
    <row r="192" spans="1:26" ht="15.75" customHeight="1" x14ac:dyDescent="0.2">
      <c r="A192" s="22"/>
      <c r="B192" s="7"/>
      <c r="C192" s="7"/>
      <c r="D192" s="21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42"/>
      <c r="X192" s="7"/>
      <c r="Y192" s="7"/>
      <c r="Z192" s="7"/>
    </row>
    <row r="193" spans="1:26" ht="15.75" customHeight="1" x14ac:dyDescent="0.2">
      <c r="A193" s="22"/>
      <c r="B193" s="7"/>
      <c r="C193" s="7"/>
      <c r="D193" s="21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42"/>
      <c r="X193" s="7"/>
      <c r="Y193" s="7"/>
      <c r="Z193" s="7"/>
    </row>
    <row r="194" spans="1:26" ht="15.75" customHeight="1" x14ac:dyDescent="0.2">
      <c r="A194" s="22"/>
      <c r="B194" s="7"/>
      <c r="C194" s="7"/>
      <c r="D194" s="2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42"/>
      <c r="X194" s="7"/>
      <c r="Y194" s="7"/>
      <c r="Z194" s="7"/>
    </row>
    <row r="195" spans="1:26" ht="15.75" customHeight="1" x14ac:dyDescent="0.2">
      <c r="A195" s="22"/>
      <c r="B195" s="7"/>
      <c r="C195" s="7"/>
      <c r="D195" s="21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42"/>
      <c r="X195" s="7"/>
      <c r="Y195" s="7"/>
      <c r="Z195" s="7"/>
    </row>
    <row r="196" spans="1:26" ht="15.75" customHeight="1" x14ac:dyDescent="0.2">
      <c r="A196" s="22"/>
      <c r="B196" s="7"/>
      <c r="C196" s="7"/>
      <c r="D196" s="21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42"/>
      <c r="X196" s="7"/>
      <c r="Y196" s="7"/>
      <c r="Z196" s="7"/>
    </row>
    <row r="197" spans="1:26" ht="15.75" customHeight="1" x14ac:dyDescent="0.2">
      <c r="A197" s="22"/>
      <c r="B197" s="7"/>
      <c r="C197" s="7"/>
      <c r="D197" s="21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42"/>
      <c r="X197" s="7"/>
      <c r="Y197" s="7"/>
      <c r="Z197" s="7"/>
    </row>
    <row r="198" spans="1:26" ht="15.75" customHeight="1" x14ac:dyDescent="0.2">
      <c r="A198" s="22"/>
      <c r="B198" s="7"/>
      <c r="C198" s="7"/>
      <c r="D198" s="21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42"/>
      <c r="X198" s="7"/>
      <c r="Y198" s="7"/>
      <c r="Z198" s="7"/>
    </row>
    <row r="199" spans="1:26" ht="15.75" customHeight="1" x14ac:dyDescent="0.2">
      <c r="A199" s="22"/>
      <c r="B199" s="7"/>
      <c r="C199" s="7"/>
      <c r="D199" s="21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42"/>
      <c r="X199" s="7"/>
      <c r="Y199" s="7"/>
      <c r="Z199" s="7"/>
    </row>
    <row r="200" spans="1:26" ht="15.75" customHeight="1" x14ac:dyDescent="0.2">
      <c r="A200" s="22"/>
      <c r="B200" s="7"/>
      <c r="C200" s="7"/>
      <c r="D200" s="21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42"/>
      <c r="X200" s="7"/>
      <c r="Y200" s="7"/>
      <c r="Z200" s="7"/>
    </row>
    <row r="201" spans="1:26" ht="15.75" customHeight="1" x14ac:dyDescent="0.2">
      <c r="A201" s="22"/>
      <c r="B201" s="7"/>
      <c r="C201" s="7"/>
      <c r="D201" s="2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42"/>
      <c r="X201" s="7"/>
      <c r="Y201" s="7"/>
      <c r="Z201" s="7"/>
    </row>
    <row r="202" spans="1:26" ht="15.75" customHeight="1" x14ac:dyDescent="0.2">
      <c r="A202" s="22"/>
      <c r="B202" s="7"/>
      <c r="C202" s="7"/>
      <c r="D202" s="21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42"/>
      <c r="X202" s="7"/>
      <c r="Y202" s="7"/>
      <c r="Z202" s="7"/>
    </row>
    <row r="203" spans="1:26" ht="15.75" customHeight="1" x14ac:dyDescent="0.2">
      <c r="A203" s="22"/>
      <c r="B203" s="7"/>
      <c r="C203" s="7"/>
      <c r="D203" s="21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42"/>
      <c r="X203" s="7"/>
      <c r="Y203" s="7"/>
      <c r="Z203" s="7"/>
    </row>
    <row r="204" spans="1:26" ht="15.75" customHeight="1" x14ac:dyDescent="0.2">
      <c r="A204" s="22"/>
      <c r="B204" s="7"/>
      <c r="C204" s="7"/>
      <c r="D204" s="21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42"/>
      <c r="X204" s="7"/>
      <c r="Y204" s="7"/>
      <c r="Z204" s="7"/>
    </row>
    <row r="205" spans="1:26" ht="15.75" customHeight="1" x14ac:dyDescent="0.2">
      <c r="A205" s="22"/>
      <c r="B205" s="7"/>
      <c r="C205" s="7"/>
      <c r="D205" s="21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42"/>
      <c r="X205" s="7"/>
      <c r="Y205" s="7"/>
      <c r="Z205" s="7"/>
    </row>
    <row r="206" spans="1:26" ht="15.75" customHeight="1" x14ac:dyDescent="0.2">
      <c r="A206" s="22"/>
      <c r="B206" s="7"/>
      <c r="C206" s="7"/>
      <c r="D206" s="2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42"/>
      <c r="X206" s="7"/>
      <c r="Y206" s="7"/>
      <c r="Z206" s="7"/>
    </row>
    <row r="207" spans="1:26" ht="15.75" customHeight="1" x14ac:dyDescent="0.2">
      <c r="A207" s="22"/>
      <c r="B207" s="7"/>
      <c r="C207" s="7"/>
      <c r="D207" s="21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42"/>
      <c r="X207" s="7"/>
      <c r="Y207" s="7"/>
      <c r="Z207" s="7"/>
    </row>
    <row r="208" spans="1:26" ht="15.75" customHeight="1" x14ac:dyDescent="0.2">
      <c r="A208" s="22"/>
      <c r="B208" s="7"/>
      <c r="C208" s="7"/>
      <c r="D208" s="21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42"/>
      <c r="X208" s="7"/>
      <c r="Y208" s="7"/>
      <c r="Z208" s="7"/>
    </row>
    <row r="209" spans="1:26" ht="15.75" customHeight="1" x14ac:dyDescent="0.2">
      <c r="A209" s="22"/>
      <c r="B209" s="7"/>
      <c r="C209" s="7"/>
      <c r="D209" s="21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42"/>
      <c r="X209" s="7"/>
      <c r="Y209" s="7"/>
      <c r="Z209" s="7"/>
    </row>
    <row r="210" spans="1:26" ht="15.75" customHeight="1" x14ac:dyDescent="0.2">
      <c r="A210" s="22"/>
      <c r="B210" s="7"/>
      <c r="C210" s="7"/>
      <c r="D210" s="21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42"/>
      <c r="X210" s="7"/>
      <c r="Y210" s="7"/>
      <c r="Z210" s="7"/>
    </row>
    <row r="211" spans="1:26" ht="15.75" customHeight="1" x14ac:dyDescent="0.2">
      <c r="A211" s="22"/>
      <c r="B211" s="7"/>
      <c r="C211" s="7"/>
      <c r="D211" s="21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42"/>
      <c r="X211" s="7"/>
      <c r="Y211" s="7"/>
      <c r="Z211" s="7"/>
    </row>
    <row r="212" spans="1:26" ht="15.75" customHeight="1" x14ac:dyDescent="0.2">
      <c r="A212" s="22"/>
      <c r="B212" s="7"/>
      <c r="C212" s="7"/>
      <c r="D212" s="21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42"/>
      <c r="X212" s="7"/>
      <c r="Y212" s="7"/>
      <c r="Z212" s="7"/>
    </row>
    <row r="213" spans="1:26" ht="15.75" customHeight="1" x14ac:dyDescent="0.2">
      <c r="A213" s="22"/>
      <c r="B213" s="7"/>
      <c r="C213" s="7"/>
      <c r="D213" s="21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42"/>
      <c r="X213" s="7"/>
      <c r="Y213" s="7"/>
      <c r="Z213" s="7"/>
    </row>
    <row r="214" spans="1:26" ht="15.75" customHeight="1" x14ac:dyDescent="0.2">
      <c r="A214" s="22"/>
      <c r="B214" s="7"/>
      <c r="C214" s="7"/>
      <c r="D214" s="21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42"/>
      <c r="X214" s="7"/>
      <c r="Y214" s="7"/>
      <c r="Z214" s="7"/>
    </row>
    <row r="215" spans="1:26" ht="15.75" customHeight="1" x14ac:dyDescent="0.2">
      <c r="A215" s="22"/>
      <c r="B215" s="7"/>
      <c r="C215" s="7"/>
      <c r="D215" s="21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42"/>
      <c r="X215" s="7"/>
      <c r="Y215" s="7"/>
      <c r="Z215" s="7"/>
    </row>
    <row r="216" spans="1:26" ht="15.75" customHeight="1" x14ac:dyDescent="0.2">
      <c r="A216" s="22"/>
      <c r="B216" s="7"/>
      <c r="C216" s="7"/>
      <c r="D216" s="21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42"/>
      <c r="X216" s="7"/>
      <c r="Y216" s="7"/>
      <c r="Z216" s="7"/>
    </row>
    <row r="217" spans="1:26" ht="15.75" customHeight="1" x14ac:dyDescent="0.2">
      <c r="A217" s="22"/>
      <c r="B217" s="7"/>
      <c r="C217" s="7"/>
      <c r="D217" s="21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42"/>
      <c r="X217" s="7"/>
      <c r="Y217" s="7"/>
      <c r="Z217" s="7"/>
    </row>
    <row r="218" spans="1:26" ht="15.75" customHeight="1" x14ac:dyDescent="0.2">
      <c r="A218" s="22"/>
      <c r="B218" s="7"/>
      <c r="C218" s="7"/>
      <c r="D218" s="2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42"/>
      <c r="X218" s="7"/>
      <c r="Y218" s="7"/>
      <c r="Z218" s="7"/>
    </row>
    <row r="219" spans="1:26" ht="15.75" customHeight="1" x14ac:dyDescent="0.2">
      <c r="A219" s="22"/>
      <c r="B219" s="7"/>
      <c r="C219" s="7"/>
      <c r="D219" s="21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42"/>
      <c r="X219" s="7"/>
      <c r="Y219" s="7"/>
      <c r="Z219" s="7"/>
    </row>
    <row r="220" spans="1:26" ht="15.75" customHeight="1" x14ac:dyDescent="0.2">
      <c r="A220" s="22"/>
      <c r="B220" s="7"/>
      <c r="C220" s="7"/>
      <c r="D220" s="21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42"/>
      <c r="X220" s="7"/>
      <c r="Y220" s="7"/>
      <c r="Z220" s="7"/>
    </row>
    <row r="221" spans="1:26" ht="15.75" customHeight="1" x14ac:dyDescent="0.2">
      <c r="A221" s="22"/>
      <c r="B221" s="7"/>
      <c r="C221" s="7"/>
      <c r="D221" s="2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42"/>
      <c r="X221" s="7"/>
      <c r="Y221" s="7"/>
      <c r="Z221" s="7"/>
    </row>
    <row r="222" spans="1:26" ht="15.75" customHeight="1" x14ac:dyDescent="0.2">
      <c r="A222" s="22"/>
      <c r="B222" s="7"/>
      <c r="C222" s="7"/>
      <c r="D222" s="2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42"/>
      <c r="X222" s="7"/>
      <c r="Y222" s="7"/>
      <c r="Z222" s="7"/>
    </row>
    <row r="223" spans="1:26" ht="15.75" customHeight="1" x14ac:dyDescent="0.2">
      <c r="A223" s="22"/>
      <c r="B223" s="7"/>
      <c r="C223" s="7"/>
      <c r="D223" s="2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42"/>
      <c r="X223" s="7"/>
      <c r="Y223" s="7"/>
      <c r="Z223" s="7"/>
    </row>
    <row r="224" spans="1:26" ht="15.75" customHeight="1" x14ac:dyDescent="0.2">
      <c r="A224" s="22"/>
      <c r="B224" s="7"/>
      <c r="C224" s="7"/>
      <c r="D224" s="2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42"/>
      <c r="X224" s="7"/>
      <c r="Y224" s="7"/>
      <c r="Z224" s="7"/>
    </row>
    <row r="225" spans="1:26" ht="15.75" customHeight="1" x14ac:dyDescent="0.2">
      <c r="A225" s="22"/>
      <c r="B225" s="7"/>
      <c r="C225" s="7"/>
      <c r="D225" s="2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42"/>
      <c r="X225" s="7"/>
      <c r="Y225" s="7"/>
      <c r="Z225" s="7"/>
    </row>
    <row r="226" spans="1:26" ht="15.75" customHeight="1" x14ac:dyDescent="0.2">
      <c r="A226" s="22"/>
      <c r="B226" s="7"/>
      <c r="C226" s="7"/>
      <c r="D226" s="2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42"/>
      <c r="X226" s="7"/>
      <c r="Y226" s="7"/>
      <c r="Z226" s="7"/>
    </row>
    <row r="227" spans="1:26" ht="15.75" customHeight="1" x14ac:dyDescent="0.2">
      <c r="A227" s="22"/>
      <c r="B227" s="7"/>
      <c r="C227" s="7"/>
      <c r="D227" s="2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42"/>
      <c r="X227" s="7"/>
      <c r="Y227" s="7"/>
      <c r="Z227" s="7"/>
    </row>
    <row r="228" spans="1:26" ht="15.75" customHeight="1" x14ac:dyDescent="0.2">
      <c r="A228" s="22"/>
      <c r="B228" s="7"/>
      <c r="C228" s="7"/>
      <c r="D228" s="2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42"/>
      <c r="X228" s="7"/>
      <c r="Y228" s="7"/>
      <c r="Z228" s="7"/>
    </row>
    <row r="229" spans="1:26" ht="15.75" customHeight="1" x14ac:dyDescent="0.2">
      <c r="A229" s="22"/>
      <c r="B229" s="7"/>
      <c r="C229" s="7"/>
      <c r="D229" s="2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42"/>
      <c r="X229" s="7"/>
      <c r="Y229" s="7"/>
      <c r="Z229" s="7"/>
    </row>
    <row r="230" spans="1:26" ht="15.75" customHeight="1" x14ac:dyDescent="0.2">
      <c r="A230" s="22"/>
      <c r="B230" s="7"/>
      <c r="C230" s="7"/>
      <c r="D230" s="2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42"/>
      <c r="X230" s="7"/>
      <c r="Y230" s="7"/>
      <c r="Z230" s="7"/>
    </row>
    <row r="231" spans="1:26" ht="15.75" customHeight="1" x14ac:dyDescent="0.2">
      <c r="A231" s="22"/>
      <c r="B231" s="7"/>
      <c r="C231" s="7"/>
      <c r="D231" s="2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42"/>
      <c r="X231" s="7"/>
      <c r="Y231" s="7"/>
      <c r="Z231" s="7"/>
    </row>
    <row r="232" spans="1:26" ht="15.75" customHeight="1" x14ac:dyDescent="0.2">
      <c r="A232" s="22"/>
      <c r="B232" s="7"/>
      <c r="C232" s="7"/>
      <c r="D232" s="2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42"/>
      <c r="X232" s="7"/>
      <c r="Y232" s="7"/>
      <c r="Z232" s="7"/>
    </row>
    <row r="233" spans="1:26" ht="15.75" customHeight="1" x14ac:dyDescent="0.2">
      <c r="A233" s="22"/>
      <c r="B233" s="7"/>
      <c r="C233" s="7"/>
      <c r="D233" s="2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42"/>
      <c r="X233" s="7"/>
      <c r="Y233" s="7"/>
      <c r="Z233" s="7"/>
    </row>
    <row r="234" spans="1:26" ht="15.75" customHeight="1" x14ac:dyDescent="0.2">
      <c r="A234" s="22"/>
      <c r="B234" s="7"/>
      <c r="C234" s="7"/>
      <c r="D234" s="2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42"/>
      <c r="X234" s="7"/>
      <c r="Y234" s="7"/>
      <c r="Z234" s="7"/>
    </row>
    <row r="235" spans="1:26" ht="15.75" customHeight="1" x14ac:dyDescent="0.2">
      <c r="A235" s="22"/>
      <c r="B235" s="7"/>
      <c r="C235" s="7"/>
      <c r="D235" s="2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42"/>
      <c r="X235" s="7"/>
      <c r="Y235" s="7"/>
      <c r="Z235" s="7"/>
    </row>
    <row r="236" spans="1:26" ht="15.75" customHeight="1" x14ac:dyDescent="0.2">
      <c r="A236" s="22"/>
      <c r="B236" s="7"/>
      <c r="C236" s="7"/>
      <c r="D236" s="2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42"/>
      <c r="X236" s="7"/>
      <c r="Y236" s="7"/>
      <c r="Z236" s="7"/>
    </row>
    <row r="237" spans="1:26" ht="15.75" customHeight="1" x14ac:dyDescent="0.2">
      <c r="A237" s="22"/>
      <c r="B237" s="7"/>
      <c r="C237" s="7"/>
      <c r="D237" s="2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42"/>
      <c r="X237" s="7"/>
      <c r="Y237" s="7"/>
      <c r="Z237" s="7"/>
    </row>
    <row r="238" spans="1:26" ht="15.75" customHeight="1" x14ac:dyDescent="0.2">
      <c r="A238" s="22"/>
      <c r="B238" s="7"/>
      <c r="C238" s="7"/>
      <c r="D238" s="2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42"/>
      <c r="X238" s="7"/>
      <c r="Y238" s="7"/>
      <c r="Z238" s="7"/>
    </row>
    <row r="239" spans="1:26" ht="15.75" customHeight="1" x14ac:dyDescent="0.2">
      <c r="A239" s="22"/>
      <c r="B239" s="7"/>
      <c r="C239" s="7"/>
      <c r="D239" s="2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42"/>
      <c r="X239" s="7"/>
      <c r="Y239" s="7"/>
      <c r="Z239" s="7"/>
    </row>
    <row r="240" spans="1:26" ht="15.75" customHeight="1" x14ac:dyDescent="0.2">
      <c r="A240" s="22"/>
      <c r="B240" s="7"/>
      <c r="C240" s="7"/>
      <c r="D240" s="2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42"/>
      <c r="X240" s="7"/>
      <c r="Y240" s="7"/>
      <c r="Z240" s="7"/>
    </row>
    <row r="241" spans="1:26" ht="15.75" customHeight="1" x14ac:dyDescent="0.2">
      <c r="A241" s="22"/>
      <c r="B241" s="7"/>
      <c r="C241" s="7"/>
      <c r="D241" s="2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42"/>
      <c r="X241" s="7"/>
      <c r="Y241" s="7"/>
      <c r="Z241" s="7"/>
    </row>
    <row r="242" spans="1:26" ht="15.75" customHeight="1" x14ac:dyDescent="0.2">
      <c r="A242" s="22"/>
      <c r="B242" s="7"/>
      <c r="C242" s="7"/>
      <c r="D242" s="2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42"/>
      <c r="X242" s="7"/>
      <c r="Y242" s="7"/>
      <c r="Z242" s="7"/>
    </row>
    <row r="243" spans="1:26" ht="15.75" customHeight="1" x14ac:dyDescent="0.2">
      <c r="A243" s="22"/>
      <c r="B243" s="7"/>
      <c r="C243" s="7"/>
      <c r="D243" s="2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42"/>
      <c r="X243" s="7"/>
      <c r="Y243" s="7"/>
      <c r="Z243" s="7"/>
    </row>
    <row r="244" spans="1:26" ht="15.75" customHeight="1" x14ac:dyDescent="0.2">
      <c r="A244" s="22"/>
      <c r="B244" s="7"/>
      <c r="C244" s="7"/>
      <c r="D244" s="2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42"/>
      <c r="X244" s="7"/>
      <c r="Y244" s="7"/>
      <c r="Z244" s="7"/>
    </row>
    <row r="245" spans="1:26" ht="15.75" customHeight="1" x14ac:dyDescent="0.2">
      <c r="A245" s="22"/>
      <c r="B245" s="7"/>
      <c r="C245" s="7"/>
      <c r="D245" s="2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42"/>
      <c r="X245" s="7"/>
      <c r="Y245" s="7"/>
      <c r="Z245" s="7"/>
    </row>
    <row r="246" spans="1:26" ht="15.75" customHeight="1" x14ac:dyDescent="0.2">
      <c r="A246" s="22"/>
      <c r="B246" s="7"/>
      <c r="C246" s="7"/>
      <c r="D246" s="2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42"/>
      <c r="X246" s="7"/>
      <c r="Y246" s="7"/>
      <c r="Z246" s="7"/>
    </row>
    <row r="247" spans="1:26" ht="15.75" customHeight="1" x14ac:dyDescent="0.2">
      <c r="A247" s="22"/>
      <c r="B247" s="7"/>
      <c r="C247" s="7"/>
      <c r="D247" s="2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42"/>
      <c r="X247" s="7"/>
      <c r="Y247" s="7"/>
      <c r="Z247" s="7"/>
    </row>
    <row r="248" spans="1:26" ht="15.75" customHeight="1" x14ac:dyDescent="0.2">
      <c r="A248" s="22"/>
      <c r="B248" s="7"/>
      <c r="C248" s="7"/>
      <c r="D248" s="2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42"/>
      <c r="X248" s="7"/>
      <c r="Y248" s="7"/>
      <c r="Z248" s="7"/>
    </row>
    <row r="249" spans="1:26" ht="15.75" customHeight="1" x14ac:dyDescent="0.2">
      <c r="A249" s="22"/>
      <c r="B249" s="7"/>
      <c r="C249" s="7"/>
      <c r="D249" s="2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42"/>
      <c r="X249" s="7"/>
      <c r="Y249" s="7"/>
      <c r="Z249" s="7"/>
    </row>
    <row r="250" spans="1:26" ht="15.75" customHeight="1" x14ac:dyDescent="0.2">
      <c r="A250" s="22"/>
      <c r="B250" s="7"/>
      <c r="C250" s="7"/>
      <c r="D250" s="2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42"/>
      <c r="X250" s="7"/>
      <c r="Y250" s="7"/>
      <c r="Z250" s="7"/>
    </row>
    <row r="251" spans="1:26" ht="15.75" customHeight="1" x14ac:dyDescent="0.2">
      <c r="A251" s="22"/>
      <c r="B251" s="7"/>
      <c r="C251" s="7"/>
      <c r="D251" s="2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42"/>
      <c r="X251" s="7"/>
      <c r="Y251" s="7"/>
      <c r="Z251" s="7"/>
    </row>
    <row r="252" spans="1:26" ht="15.75" customHeight="1" x14ac:dyDescent="0.2">
      <c r="A252" s="22"/>
      <c r="B252" s="7"/>
      <c r="C252" s="7"/>
      <c r="D252" s="2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42"/>
      <c r="X252" s="7"/>
      <c r="Y252" s="7"/>
      <c r="Z252" s="7"/>
    </row>
    <row r="253" spans="1:26" ht="15.75" customHeight="1" x14ac:dyDescent="0.2">
      <c r="A253" s="22"/>
      <c r="B253" s="7"/>
      <c r="C253" s="7"/>
      <c r="D253" s="2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42"/>
      <c r="X253" s="7"/>
      <c r="Y253" s="7"/>
      <c r="Z253" s="7"/>
    </row>
    <row r="254" spans="1:26" ht="15.75" customHeight="1" x14ac:dyDescent="0.2">
      <c r="A254" s="22"/>
      <c r="B254" s="7"/>
      <c r="C254" s="7"/>
      <c r="D254" s="2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42"/>
      <c r="X254" s="7"/>
      <c r="Y254" s="7"/>
      <c r="Z254" s="7"/>
    </row>
    <row r="255" spans="1:26" ht="15.75" customHeight="1" x14ac:dyDescent="0.2">
      <c r="A255" s="22"/>
      <c r="B255" s="7"/>
      <c r="C255" s="7"/>
      <c r="D255" s="2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42"/>
      <c r="X255" s="7"/>
      <c r="Y255" s="7"/>
      <c r="Z255" s="7"/>
    </row>
    <row r="256" spans="1:26" ht="15.75" customHeight="1" x14ac:dyDescent="0.2">
      <c r="A256" s="22"/>
      <c r="B256" s="7"/>
      <c r="C256" s="7"/>
      <c r="D256" s="2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42"/>
      <c r="X256" s="7"/>
      <c r="Y256" s="7"/>
      <c r="Z256" s="7"/>
    </row>
    <row r="257" spans="1:26" ht="15.75" customHeight="1" x14ac:dyDescent="0.2">
      <c r="A257" s="22"/>
      <c r="B257" s="7"/>
      <c r="C257" s="7"/>
      <c r="D257" s="2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42"/>
      <c r="X257" s="7"/>
      <c r="Y257" s="7"/>
      <c r="Z257" s="7"/>
    </row>
    <row r="258" spans="1:26" ht="15.75" customHeight="1" x14ac:dyDescent="0.2">
      <c r="A258" s="22"/>
      <c r="B258" s="7"/>
      <c r="C258" s="7"/>
      <c r="D258" s="2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42"/>
      <c r="X258" s="7"/>
      <c r="Y258" s="7"/>
      <c r="Z258" s="7"/>
    </row>
    <row r="259" spans="1:26" ht="15.75" customHeight="1" x14ac:dyDescent="0.2">
      <c r="A259" s="22"/>
      <c r="B259" s="7"/>
      <c r="C259" s="7"/>
      <c r="D259" s="2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42"/>
      <c r="X259" s="7"/>
      <c r="Y259" s="7"/>
      <c r="Z259" s="7"/>
    </row>
    <row r="260" spans="1:26" ht="15.75" customHeight="1" x14ac:dyDescent="0.2">
      <c r="A260" s="22"/>
      <c r="B260" s="7"/>
      <c r="C260" s="7"/>
      <c r="D260" s="2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42"/>
      <c r="X260" s="7"/>
      <c r="Y260" s="7"/>
      <c r="Z260" s="7"/>
    </row>
    <row r="261" spans="1:26" ht="15.75" customHeight="1" x14ac:dyDescent="0.2">
      <c r="A261" s="22"/>
      <c r="B261" s="7"/>
      <c r="C261" s="7"/>
      <c r="D261" s="2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42"/>
      <c r="X261" s="7"/>
      <c r="Y261" s="7"/>
      <c r="Z261" s="7"/>
    </row>
    <row r="262" spans="1:26" ht="15.75" customHeight="1" x14ac:dyDescent="0.2">
      <c r="A262" s="22"/>
      <c r="B262" s="7"/>
      <c r="C262" s="7"/>
      <c r="D262" s="2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42"/>
      <c r="X262" s="7"/>
      <c r="Y262" s="7"/>
      <c r="Z262" s="7"/>
    </row>
    <row r="263" spans="1:26" ht="15.75" customHeight="1" x14ac:dyDescent="0.2">
      <c r="A263" s="22"/>
      <c r="B263" s="7"/>
      <c r="C263" s="7"/>
      <c r="D263" s="2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42"/>
      <c r="X263" s="7"/>
      <c r="Y263" s="7"/>
      <c r="Z263" s="7"/>
    </row>
    <row r="264" spans="1:26" ht="15.75" customHeight="1" x14ac:dyDescent="0.2">
      <c r="A264" s="22"/>
      <c r="B264" s="7"/>
      <c r="C264" s="7"/>
      <c r="D264" s="2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42"/>
      <c r="X264" s="7"/>
      <c r="Y264" s="7"/>
      <c r="Z264" s="7"/>
    </row>
    <row r="265" spans="1:26" ht="15.75" customHeight="1" x14ac:dyDescent="0.2">
      <c r="A265" s="22"/>
      <c r="B265" s="7"/>
      <c r="C265" s="7"/>
      <c r="D265" s="2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42"/>
      <c r="X265" s="7"/>
      <c r="Y265" s="7"/>
      <c r="Z265" s="7"/>
    </row>
    <row r="266" spans="1:26" ht="15.75" customHeight="1" x14ac:dyDescent="0.2">
      <c r="A266" s="22"/>
      <c r="B266" s="7"/>
      <c r="C266" s="7"/>
      <c r="D266" s="2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42"/>
      <c r="X266" s="7"/>
      <c r="Y266" s="7"/>
      <c r="Z266" s="7"/>
    </row>
    <row r="267" spans="1:26" ht="15.75" customHeight="1" x14ac:dyDescent="0.2">
      <c r="A267" s="22"/>
      <c r="B267" s="7"/>
      <c r="C267" s="7"/>
      <c r="D267" s="2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42"/>
      <c r="X267" s="7"/>
      <c r="Y267" s="7"/>
      <c r="Z267" s="7"/>
    </row>
    <row r="268" spans="1:26" ht="15.75" customHeight="1" x14ac:dyDescent="0.2">
      <c r="A268" s="22"/>
      <c r="B268" s="7"/>
      <c r="C268" s="7"/>
      <c r="D268" s="2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42"/>
      <c r="X268" s="7"/>
      <c r="Y268" s="7"/>
      <c r="Z268" s="7"/>
    </row>
    <row r="269" spans="1:26" ht="15.75" customHeight="1" x14ac:dyDescent="0.2">
      <c r="A269" s="22"/>
      <c r="B269" s="7"/>
      <c r="C269" s="7"/>
      <c r="D269" s="2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42"/>
      <c r="X269" s="7"/>
      <c r="Y269" s="7"/>
      <c r="Z269" s="7"/>
    </row>
    <row r="270" spans="1:26" ht="15.75" customHeight="1" x14ac:dyDescent="0.2">
      <c r="A270" s="22"/>
      <c r="B270" s="7"/>
      <c r="C270" s="7"/>
      <c r="D270" s="2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42"/>
      <c r="X270" s="7"/>
      <c r="Y270" s="7"/>
      <c r="Z270" s="7"/>
    </row>
    <row r="271" spans="1:26" ht="15.75" customHeight="1" x14ac:dyDescent="0.2">
      <c r="A271" s="22"/>
      <c r="B271" s="7"/>
      <c r="C271" s="7"/>
      <c r="D271" s="2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42"/>
      <c r="X271" s="7"/>
      <c r="Y271" s="7"/>
      <c r="Z271" s="7"/>
    </row>
    <row r="272" spans="1:26" ht="15.75" customHeight="1" x14ac:dyDescent="0.2">
      <c r="A272" s="22"/>
      <c r="B272" s="7"/>
      <c r="C272" s="7"/>
      <c r="D272" s="2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42"/>
      <c r="X272" s="7"/>
      <c r="Y272" s="7"/>
      <c r="Z272" s="7"/>
    </row>
    <row r="273" spans="1:26" ht="15.75" customHeight="1" x14ac:dyDescent="0.2">
      <c r="A273" s="22"/>
      <c r="B273" s="7"/>
      <c r="C273" s="7"/>
      <c r="D273" s="2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42"/>
      <c r="X273" s="7"/>
      <c r="Y273" s="7"/>
      <c r="Z273" s="7"/>
    </row>
    <row r="274" spans="1:26" ht="15.75" customHeight="1" x14ac:dyDescent="0.2">
      <c r="A274" s="22"/>
      <c r="B274" s="7"/>
      <c r="C274" s="7"/>
      <c r="D274" s="2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42"/>
      <c r="X274" s="7"/>
      <c r="Y274" s="7"/>
      <c r="Z274" s="7"/>
    </row>
    <row r="275" spans="1:26" ht="15.75" customHeight="1" x14ac:dyDescent="0.2">
      <c r="A275" s="22"/>
      <c r="B275" s="7"/>
      <c r="C275" s="7"/>
      <c r="D275" s="2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42"/>
      <c r="X275" s="7"/>
      <c r="Y275" s="7"/>
      <c r="Z275" s="7"/>
    </row>
    <row r="276" spans="1:26" ht="15.75" customHeight="1" x14ac:dyDescent="0.2">
      <c r="A276" s="22"/>
      <c r="B276" s="7"/>
      <c r="C276" s="7"/>
      <c r="D276" s="2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42"/>
      <c r="X276" s="7"/>
      <c r="Y276" s="7"/>
      <c r="Z276" s="7"/>
    </row>
    <row r="277" spans="1:26" ht="15.75" customHeight="1" x14ac:dyDescent="0.2">
      <c r="A277" s="22"/>
      <c r="B277" s="7"/>
      <c r="C277" s="7"/>
      <c r="D277" s="2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42"/>
      <c r="X277" s="7"/>
      <c r="Y277" s="7"/>
      <c r="Z277" s="7"/>
    </row>
    <row r="278" spans="1:26" ht="15.75" customHeight="1" x14ac:dyDescent="0.2">
      <c r="A278" s="22"/>
      <c r="B278" s="7"/>
      <c r="C278" s="7"/>
      <c r="D278" s="2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42"/>
      <c r="X278" s="7"/>
      <c r="Y278" s="7"/>
      <c r="Z278" s="7"/>
    </row>
    <row r="279" spans="1:26" ht="15.75" customHeight="1" x14ac:dyDescent="0.2">
      <c r="A279" s="22"/>
      <c r="B279" s="7"/>
      <c r="C279" s="7"/>
      <c r="D279" s="2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42"/>
      <c r="X279" s="7"/>
      <c r="Y279" s="7"/>
      <c r="Z279" s="7"/>
    </row>
    <row r="280" spans="1:26" ht="15.75" customHeight="1" x14ac:dyDescent="0.2">
      <c r="A280" s="22"/>
      <c r="B280" s="7"/>
      <c r="C280" s="7"/>
      <c r="D280" s="2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42"/>
      <c r="X280" s="7"/>
      <c r="Y280" s="7"/>
      <c r="Z280" s="7"/>
    </row>
    <row r="281" spans="1:26" ht="15.75" customHeight="1" x14ac:dyDescent="0.2">
      <c r="A281" s="22"/>
      <c r="B281" s="7"/>
      <c r="C281" s="7"/>
      <c r="D281" s="2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42"/>
      <c r="X281" s="7"/>
      <c r="Y281" s="7"/>
      <c r="Z281" s="7"/>
    </row>
    <row r="282" spans="1:26" ht="15.75" customHeight="1" x14ac:dyDescent="0.2">
      <c r="A282" s="22"/>
      <c r="B282" s="7"/>
      <c r="C282" s="7"/>
      <c r="D282" s="2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42"/>
      <c r="X282" s="7"/>
      <c r="Y282" s="7"/>
      <c r="Z282" s="7"/>
    </row>
    <row r="283" spans="1:26" ht="15.75" customHeight="1" x14ac:dyDescent="0.2">
      <c r="A283" s="22"/>
      <c r="B283" s="7"/>
      <c r="C283" s="7"/>
      <c r="D283" s="2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42"/>
      <c r="X283" s="7"/>
      <c r="Y283" s="7"/>
      <c r="Z283" s="7"/>
    </row>
    <row r="284" spans="1:26" ht="15.75" customHeight="1" x14ac:dyDescent="0.2">
      <c r="A284" s="22"/>
      <c r="B284" s="7"/>
      <c r="C284" s="7"/>
      <c r="D284" s="2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42"/>
      <c r="X284" s="7"/>
      <c r="Y284" s="7"/>
      <c r="Z284" s="7"/>
    </row>
    <row r="285" spans="1:26" ht="15.75" customHeight="1" x14ac:dyDescent="0.2">
      <c r="A285" s="22"/>
      <c r="B285" s="7"/>
      <c r="C285" s="7"/>
      <c r="D285" s="2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42"/>
      <c r="X285" s="7"/>
      <c r="Y285" s="7"/>
      <c r="Z285" s="7"/>
    </row>
    <row r="286" spans="1:26" ht="15.75" customHeight="1" x14ac:dyDescent="0.2">
      <c r="A286" s="22"/>
      <c r="B286" s="7"/>
      <c r="C286" s="7"/>
      <c r="D286" s="2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42"/>
      <c r="X286" s="7"/>
      <c r="Y286" s="7"/>
      <c r="Z286" s="7"/>
    </row>
    <row r="287" spans="1:26" ht="15.75" customHeight="1" x14ac:dyDescent="0.2">
      <c r="A287" s="22"/>
      <c r="B287" s="7"/>
      <c r="C287" s="7"/>
      <c r="D287" s="2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42"/>
      <c r="X287" s="7"/>
      <c r="Y287" s="7"/>
      <c r="Z287" s="7"/>
    </row>
    <row r="288" spans="1:26" ht="15.75" customHeight="1" x14ac:dyDescent="0.2">
      <c r="A288" s="22"/>
      <c r="B288" s="7"/>
      <c r="C288" s="7"/>
      <c r="D288" s="2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42"/>
      <c r="X288" s="7"/>
      <c r="Y288" s="7"/>
      <c r="Z288" s="7"/>
    </row>
    <row r="289" spans="1:26" ht="15.75" customHeight="1" x14ac:dyDescent="0.2">
      <c r="A289" s="22"/>
      <c r="B289" s="7"/>
      <c r="C289" s="7"/>
      <c r="D289" s="2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42"/>
      <c r="X289" s="7"/>
      <c r="Y289" s="7"/>
      <c r="Z289" s="7"/>
    </row>
    <row r="290" spans="1:26" ht="15.75" customHeight="1" x14ac:dyDescent="0.2">
      <c r="A290" s="22"/>
      <c r="B290" s="7"/>
      <c r="C290" s="7"/>
      <c r="D290" s="2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42"/>
      <c r="X290" s="7"/>
      <c r="Y290" s="7"/>
      <c r="Z290" s="7"/>
    </row>
    <row r="291" spans="1:26" ht="15.75" customHeight="1" x14ac:dyDescent="0.2">
      <c r="A291" s="22"/>
      <c r="B291" s="7"/>
      <c r="C291" s="7"/>
      <c r="D291" s="2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42"/>
      <c r="X291" s="7"/>
      <c r="Y291" s="7"/>
      <c r="Z291" s="7"/>
    </row>
    <row r="292" spans="1:26" ht="15.75" customHeight="1" x14ac:dyDescent="0.2">
      <c r="A292" s="22"/>
      <c r="B292" s="7"/>
      <c r="C292" s="7"/>
      <c r="D292" s="2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42"/>
      <c r="X292" s="7"/>
      <c r="Y292" s="7"/>
      <c r="Z292" s="7"/>
    </row>
    <row r="293" spans="1:26" ht="15.75" customHeight="1" x14ac:dyDescent="0.2">
      <c r="A293" s="22"/>
      <c r="B293" s="7"/>
      <c r="C293" s="7"/>
      <c r="D293" s="2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42"/>
      <c r="X293" s="7"/>
      <c r="Y293" s="7"/>
      <c r="Z293" s="7"/>
    </row>
    <row r="294" spans="1:26" ht="15.75" customHeight="1" x14ac:dyDescent="0.2">
      <c r="A294" s="22"/>
      <c r="B294" s="7"/>
      <c r="C294" s="7"/>
      <c r="D294" s="2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42"/>
      <c r="X294" s="7"/>
      <c r="Y294" s="7"/>
      <c r="Z294" s="7"/>
    </row>
    <row r="295" spans="1:26" ht="15.75" customHeight="1" x14ac:dyDescent="0.2">
      <c r="A295" s="22"/>
      <c r="B295" s="7"/>
      <c r="C295" s="7"/>
      <c r="D295" s="2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42"/>
      <c r="X295" s="7"/>
      <c r="Y295" s="7"/>
      <c r="Z295" s="7"/>
    </row>
    <row r="296" spans="1:26" ht="15.75" customHeight="1" x14ac:dyDescent="0.2">
      <c r="A296" s="22"/>
      <c r="B296" s="7"/>
      <c r="C296" s="7"/>
      <c r="D296" s="2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42"/>
      <c r="X296" s="7"/>
      <c r="Y296" s="7"/>
      <c r="Z296" s="7"/>
    </row>
    <row r="297" spans="1:26" ht="15.75" customHeight="1" x14ac:dyDescent="0.2">
      <c r="A297" s="22"/>
      <c r="B297" s="7"/>
      <c r="C297" s="7"/>
      <c r="D297" s="2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42"/>
      <c r="X297" s="7"/>
      <c r="Y297" s="7"/>
      <c r="Z297" s="7"/>
    </row>
    <row r="298" spans="1:26" ht="15.75" customHeight="1" x14ac:dyDescent="0.2">
      <c r="A298" s="22"/>
      <c r="B298" s="7"/>
      <c r="C298" s="7"/>
      <c r="D298" s="2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42"/>
      <c r="X298" s="7"/>
      <c r="Y298" s="7"/>
      <c r="Z298" s="7"/>
    </row>
    <row r="299" spans="1:26" ht="15.75" customHeight="1" x14ac:dyDescent="0.2">
      <c r="A299" s="22"/>
      <c r="B299" s="7"/>
      <c r="C299" s="7"/>
      <c r="D299" s="2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42"/>
      <c r="X299" s="7"/>
      <c r="Y299" s="7"/>
      <c r="Z299" s="7"/>
    </row>
    <row r="300" spans="1:26" ht="15.75" customHeight="1" x14ac:dyDescent="0.2">
      <c r="A300" s="22"/>
      <c r="B300" s="7"/>
      <c r="C300" s="7"/>
      <c r="D300" s="2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42"/>
      <c r="X300" s="7"/>
      <c r="Y300" s="7"/>
      <c r="Z300" s="7"/>
    </row>
    <row r="301" spans="1:26" ht="15.75" customHeight="1" x14ac:dyDescent="0.2">
      <c r="A301" s="22"/>
      <c r="B301" s="7"/>
      <c r="C301" s="7"/>
      <c r="D301" s="2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42"/>
      <c r="X301" s="7"/>
      <c r="Y301" s="7"/>
      <c r="Z301" s="7"/>
    </row>
    <row r="302" spans="1:26" ht="15.75" customHeight="1" x14ac:dyDescent="0.2">
      <c r="A302" s="22"/>
      <c r="B302" s="7"/>
      <c r="C302" s="7"/>
      <c r="D302" s="2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42"/>
      <c r="X302" s="7"/>
      <c r="Y302" s="7"/>
      <c r="Z302" s="7"/>
    </row>
    <row r="303" spans="1:26" ht="15.75" customHeight="1" x14ac:dyDescent="0.2">
      <c r="A303" s="22"/>
      <c r="B303" s="7"/>
      <c r="C303" s="7"/>
      <c r="D303" s="2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42"/>
      <c r="X303" s="7"/>
      <c r="Y303" s="7"/>
      <c r="Z303" s="7"/>
    </row>
    <row r="304" spans="1:26" ht="15.75" customHeight="1" x14ac:dyDescent="0.2">
      <c r="A304" s="22"/>
      <c r="B304" s="7"/>
      <c r="C304" s="7"/>
      <c r="D304" s="2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42"/>
      <c r="X304" s="7"/>
      <c r="Y304" s="7"/>
      <c r="Z304" s="7"/>
    </row>
    <row r="305" spans="1:26" ht="15.75" customHeight="1" x14ac:dyDescent="0.2">
      <c r="A305" s="22"/>
      <c r="B305" s="7"/>
      <c r="C305" s="7"/>
      <c r="D305" s="2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42"/>
      <c r="X305" s="7"/>
      <c r="Y305" s="7"/>
      <c r="Z305" s="7"/>
    </row>
    <row r="306" spans="1:26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42"/>
      <c r="X306" s="7"/>
      <c r="Y306" s="7"/>
      <c r="Z306" s="7"/>
    </row>
    <row r="307" spans="1:26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42"/>
      <c r="X307" s="7"/>
      <c r="Y307" s="7"/>
      <c r="Z307" s="7"/>
    </row>
    <row r="308" spans="1:26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42"/>
      <c r="X308" s="7"/>
      <c r="Y308" s="7"/>
      <c r="Z308" s="7"/>
    </row>
    <row r="309" spans="1:26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42"/>
      <c r="X309" s="7"/>
      <c r="Y309" s="7"/>
      <c r="Z309" s="7"/>
    </row>
    <row r="310" spans="1:26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42"/>
      <c r="X310" s="7"/>
      <c r="Y310" s="7"/>
      <c r="Z310" s="7"/>
    </row>
    <row r="311" spans="1:26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42"/>
      <c r="X311" s="7"/>
      <c r="Y311" s="7"/>
      <c r="Z311" s="7"/>
    </row>
    <row r="312" spans="1:26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42"/>
      <c r="X312" s="7"/>
      <c r="Y312" s="7"/>
      <c r="Z312" s="7"/>
    </row>
    <row r="313" spans="1:26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42"/>
      <c r="X313" s="7"/>
      <c r="Y313" s="7"/>
      <c r="Z313" s="7"/>
    </row>
    <row r="314" spans="1:26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42"/>
      <c r="X314" s="7"/>
      <c r="Y314" s="7"/>
      <c r="Z314" s="7"/>
    </row>
    <row r="315" spans="1:26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42"/>
      <c r="X315" s="7"/>
      <c r="Y315" s="7"/>
      <c r="Z315" s="7"/>
    </row>
    <row r="316" spans="1:26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42"/>
      <c r="X316" s="7"/>
      <c r="Y316" s="7"/>
      <c r="Z316" s="7"/>
    </row>
    <row r="317" spans="1:26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42"/>
      <c r="X317" s="7"/>
      <c r="Y317" s="7"/>
      <c r="Z317" s="7"/>
    </row>
    <row r="318" spans="1:26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42"/>
      <c r="X318" s="7"/>
      <c r="Y318" s="7"/>
      <c r="Z318" s="7"/>
    </row>
    <row r="319" spans="1:26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42"/>
      <c r="X319" s="7"/>
      <c r="Y319" s="7"/>
      <c r="Z319" s="7"/>
    </row>
    <row r="320" spans="1:26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42"/>
      <c r="X320" s="7"/>
      <c r="Y320" s="7"/>
      <c r="Z320" s="7"/>
    </row>
    <row r="321" spans="1:26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42"/>
      <c r="X321" s="7"/>
      <c r="Y321" s="7"/>
      <c r="Z321" s="7"/>
    </row>
    <row r="322" spans="1:26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42"/>
      <c r="X322" s="7"/>
      <c r="Y322" s="7"/>
      <c r="Z322" s="7"/>
    </row>
    <row r="323" spans="1:26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42"/>
      <c r="X323" s="7"/>
      <c r="Y323" s="7"/>
      <c r="Z323" s="7"/>
    </row>
    <row r="324" spans="1:26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42"/>
      <c r="X324" s="7"/>
      <c r="Y324" s="7"/>
      <c r="Z324" s="7"/>
    </row>
    <row r="325" spans="1:26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42"/>
      <c r="X325" s="7"/>
      <c r="Y325" s="7"/>
      <c r="Z325" s="7"/>
    </row>
    <row r="326" spans="1:26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42"/>
      <c r="X326" s="7"/>
      <c r="Y326" s="7"/>
      <c r="Z326" s="7"/>
    </row>
    <row r="327" spans="1:26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42"/>
      <c r="X327" s="7"/>
      <c r="Y327" s="7"/>
      <c r="Z327" s="7"/>
    </row>
    <row r="328" spans="1:26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42"/>
      <c r="X328" s="7"/>
      <c r="Y328" s="7"/>
      <c r="Z328" s="7"/>
    </row>
    <row r="329" spans="1:26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42"/>
      <c r="X329" s="7"/>
      <c r="Y329" s="7"/>
      <c r="Z329" s="7"/>
    </row>
    <row r="330" spans="1:26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42"/>
      <c r="X330" s="7"/>
      <c r="Y330" s="7"/>
      <c r="Z330" s="7"/>
    </row>
    <row r="331" spans="1:26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42"/>
      <c r="X331" s="7"/>
      <c r="Y331" s="7"/>
      <c r="Z331" s="7"/>
    </row>
    <row r="332" spans="1:26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42"/>
      <c r="X332" s="7"/>
      <c r="Y332" s="7"/>
      <c r="Z332" s="7"/>
    </row>
    <row r="333" spans="1:26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42"/>
      <c r="X333" s="7"/>
      <c r="Y333" s="7"/>
      <c r="Z333" s="7"/>
    </row>
    <row r="334" spans="1:26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42"/>
      <c r="X334" s="7"/>
      <c r="Y334" s="7"/>
      <c r="Z334" s="7"/>
    </row>
    <row r="335" spans="1:26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42"/>
      <c r="X335" s="7"/>
      <c r="Y335" s="7"/>
      <c r="Z335" s="7"/>
    </row>
    <row r="336" spans="1:26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42"/>
      <c r="X336" s="7"/>
      <c r="Y336" s="7"/>
      <c r="Z336" s="7"/>
    </row>
    <row r="337" spans="1:26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42"/>
      <c r="X337" s="7"/>
      <c r="Y337" s="7"/>
      <c r="Z337" s="7"/>
    </row>
    <row r="338" spans="1:26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42"/>
      <c r="X338" s="7"/>
      <c r="Y338" s="7"/>
      <c r="Z338" s="7"/>
    </row>
    <row r="339" spans="1:26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42"/>
      <c r="X339" s="7"/>
      <c r="Y339" s="7"/>
      <c r="Z339" s="7"/>
    </row>
    <row r="340" spans="1:26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42"/>
      <c r="X340" s="7"/>
      <c r="Y340" s="7"/>
      <c r="Z340" s="7"/>
    </row>
    <row r="341" spans="1:26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42"/>
      <c r="X341" s="7"/>
      <c r="Y341" s="7"/>
      <c r="Z341" s="7"/>
    </row>
    <row r="342" spans="1:26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42"/>
      <c r="X342" s="7"/>
      <c r="Y342" s="7"/>
      <c r="Z342" s="7"/>
    </row>
    <row r="343" spans="1:26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42"/>
      <c r="X343" s="7"/>
      <c r="Y343" s="7"/>
      <c r="Z343" s="7"/>
    </row>
    <row r="344" spans="1:26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42"/>
      <c r="X344" s="7"/>
      <c r="Y344" s="7"/>
      <c r="Z344" s="7"/>
    </row>
    <row r="345" spans="1:26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42"/>
      <c r="X345" s="7"/>
      <c r="Y345" s="7"/>
      <c r="Z345" s="7"/>
    </row>
    <row r="346" spans="1:26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42"/>
      <c r="X346" s="7"/>
      <c r="Y346" s="7"/>
      <c r="Z346" s="7"/>
    </row>
    <row r="347" spans="1:26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42"/>
      <c r="X347" s="7"/>
      <c r="Y347" s="7"/>
      <c r="Z347" s="7"/>
    </row>
    <row r="348" spans="1:26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42"/>
      <c r="X348" s="7"/>
      <c r="Y348" s="7"/>
      <c r="Z348" s="7"/>
    </row>
    <row r="349" spans="1:26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42"/>
      <c r="X349" s="7"/>
      <c r="Y349" s="7"/>
      <c r="Z349" s="7"/>
    </row>
    <row r="350" spans="1:26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42"/>
      <c r="X350" s="7"/>
      <c r="Y350" s="7"/>
      <c r="Z350" s="7"/>
    </row>
    <row r="351" spans="1:26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42"/>
      <c r="X351" s="7"/>
      <c r="Y351" s="7"/>
      <c r="Z351" s="7"/>
    </row>
    <row r="352" spans="1:26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42"/>
      <c r="X352" s="7"/>
      <c r="Y352" s="7"/>
      <c r="Z352" s="7"/>
    </row>
    <row r="353" spans="1:26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42"/>
      <c r="X353" s="7"/>
      <c r="Y353" s="7"/>
      <c r="Z353" s="7"/>
    </row>
    <row r="354" spans="1:26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42"/>
      <c r="X354" s="7"/>
      <c r="Y354" s="7"/>
      <c r="Z354" s="7"/>
    </row>
    <row r="355" spans="1:26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42"/>
      <c r="X355" s="7"/>
      <c r="Y355" s="7"/>
      <c r="Z355" s="7"/>
    </row>
    <row r="356" spans="1:26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42"/>
      <c r="X356" s="7"/>
      <c r="Y356" s="7"/>
      <c r="Z356" s="7"/>
    </row>
    <row r="357" spans="1:26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42"/>
      <c r="X357" s="7"/>
      <c r="Y357" s="7"/>
      <c r="Z357" s="7"/>
    </row>
    <row r="358" spans="1:26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42"/>
      <c r="X358" s="7"/>
      <c r="Y358" s="7"/>
      <c r="Z358" s="7"/>
    </row>
    <row r="359" spans="1:26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42"/>
      <c r="X359" s="7"/>
      <c r="Y359" s="7"/>
      <c r="Z359" s="7"/>
    </row>
    <row r="360" spans="1:26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42"/>
      <c r="X360" s="7"/>
      <c r="Y360" s="7"/>
      <c r="Z360" s="7"/>
    </row>
    <row r="361" spans="1:26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42"/>
      <c r="X361" s="7"/>
      <c r="Y361" s="7"/>
      <c r="Z361" s="7"/>
    </row>
    <row r="362" spans="1:26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42"/>
      <c r="X362" s="7"/>
      <c r="Y362" s="7"/>
      <c r="Z362" s="7"/>
    </row>
    <row r="363" spans="1:26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42"/>
      <c r="X363" s="7"/>
      <c r="Y363" s="7"/>
      <c r="Z363" s="7"/>
    </row>
    <row r="364" spans="1:26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42"/>
      <c r="X364" s="7"/>
      <c r="Y364" s="7"/>
      <c r="Z364" s="7"/>
    </row>
    <row r="365" spans="1:26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42"/>
      <c r="X365" s="7"/>
      <c r="Y365" s="7"/>
      <c r="Z365" s="7"/>
    </row>
    <row r="366" spans="1:26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42"/>
      <c r="X366" s="7"/>
      <c r="Y366" s="7"/>
      <c r="Z366" s="7"/>
    </row>
    <row r="367" spans="1:26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42"/>
      <c r="X367" s="7"/>
      <c r="Y367" s="7"/>
      <c r="Z367" s="7"/>
    </row>
    <row r="368" spans="1:26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42"/>
      <c r="X368" s="7"/>
      <c r="Y368" s="7"/>
      <c r="Z368" s="7"/>
    </row>
    <row r="369" spans="1:26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42"/>
      <c r="X369" s="7"/>
      <c r="Y369" s="7"/>
      <c r="Z369" s="7"/>
    </row>
    <row r="370" spans="1:26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42"/>
      <c r="X370" s="7"/>
      <c r="Y370" s="7"/>
      <c r="Z370" s="7"/>
    </row>
    <row r="371" spans="1:26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42"/>
      <c r="X371" s="7"/>
      <c r="Y371" s="7"/>
      <c r="Z371" s="7"/>
    </row>
    <row r="372" spans="1:26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42"/>
      <c r="X372" s="7"/>
      <c r="Y372" s="7"/>
      <c r="Z372" s="7"/>
    </row>
    <row r="373" spans="1:26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42"/>
      <c r="X373" s="7"/>
      <c r="Y373" s="7"/>
      <c r="Z373" s="7"/>
    </row>
    <row r="374" spans="1:26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42"/>
      <c r="X374" s="7"/>
      <c r="Y374" s="7"/>
      <c r="Z374" s="7"/>
    </row>
    <row r="375" spans="1:26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42"/>
      <c r="X375" s="7"/>
      <c r="Y375" s="7"/>
      <c r="Z375" s="7"/>
    </row>
    <row r="376" spans="1:26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42"/>
      <c r="X376" s="7"/>
      <c r="Y376" s="7"/>
      <c r="Z376" s="7"/>
    </row>
    <row r="377" spans="1:26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42"/>
      <c r="X377" s="7"/>
      <c r="Y377" s="7"/>
      <c r="Z377" s="7"/>
    </row>
    <row r="378" spans="1:26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42"/>
      <c r="X378" s="7"/>
      <c r="Y378" s="7"/>
      <c r="Z378" s="7"/>
    </row>
    <row r="379" spans="1:26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42"/>
      <c r="X379" s="7"/>
      <c r="Y379" s="7"/>
      <c r="Z379" s="7"/>
    </row>
    <row r="380" spans="1:26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42"/>
      <c r="X380" s="7"/>
      <c r="Y380" s="7"/>
      <c r="Z380" s="7"/>
    </row>
    <row r="381" spans="1:26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42"/>
      <c r="X381" s="7"/>
      <c r="Y381" s="7"/>
      <c r="Z381" s="7"/>
    </row>
    <row r="382" spans="1:26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42"/>
      <c r="X382" s="7"/>
      <c r="Y382" s="7"/>
      <c r="Z382" s="7"/>
    </row>
    <row r="383" spans="1:26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42"/>
      <c r="X383" s="7"/>
      <c r="Y383" s="7"/>
      <c r="Z383" s="7"/>
    </row>
    <row r="384" spans="1:26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42"/>
      <c r="X384" s="7"/>
      <c r="Y384" s="7"/>
      <c r="Z384" s="7"/>
    </row>
    <row r="385" spans="1:26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42"/>
      <c r="X385" s="7"/>
      <c r="Y385" s="7"/>
      <c r="Z385" s="7"/>
    </row>
    <row r="386" spans="1:26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42"/>
      <c r="X386" s="7"/>
      <c r="Y386" s="7"/>
      <c r="Z386" s="7"/>
    </row>
    <row r="387" spans="1:26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42"/>
      <c r="X387" s="7"/>
      <c r="Y387" s="7"/>
      <c r="Z387" s="7"/>
    </row>
    <row r="388" spans="1:26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42"/>
      <c r="X388" s="7"/>
      <c r="Y388" s="7"/>
      <c r="Z388" s="7"/>
    </row>
    <row r="389" spans="1:26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42"/>
      <c r="X389" s="7"/>
      <c r="Y389" s="7"/>
      <c r="Z389" s="7"/>
    </row>
    <row r="390" spans="1:26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42"/>
      <c r="X390" s="7"/>
      <c r="Y390" s="7"/>
      <c r="Z390" s="7"/>
    </row>
    <row r="391" spans="1:26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42"/>
      <c r="X391" s="7"/>
      <c r="Y391" s="7"/>
      <c r="Z391" s="7"/>
    </row>
    <row r="392" spans="1:26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42"/>
      <c r="X392" s="7"/>
      <c r="Y392" s="7"/>
      <c r="Z392" s="7"/>
    </row>
    <row r="393" spans="1:26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42"/>
      <c r="X393" s="7"/>
      <c r="Y393" s="7"/>
      <c r="Z393" s="7"/>
    </row>
    <row r="394" spans="1:26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42"/>
      <c r="X394" s="7"/>
      <c r="Y394" s="7"/>
      <c r="Z394" s="7"/>
    </row>
    <row r="395" spans="1:26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42"/>
      <c r="X395" s="7"/>
      <c r="Y395" s="7"/>
      <c r="Z395" s="7"/>
    </row>
    <row r="396" spans="1:26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42"/>
      <c r="X396" s="7"/>
      <c r="Y396" s="7"/>
      <c r="Z396" s="7"/>
    </row>
    <row r="397" spans="1:26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42"/>
      <c r="X397" s="7"/>
      <c r="Y397" s="7"/>
      <c r="Z397" s="7"/>
    </row>
    <row r="398" spans="1:26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42"/>
      <c r="X398" s="7"/>
      <c r="Y398" s="7"/>
      <c r="Z398" s="7"/>
    </row>
    <row r="399" spans="1:26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42"/>
      <c r="X399" s="7"/>
      <c r="Y399" s="7"/>
      <c r="Z399" s="7"/>
    </row>
    <row r="400" spans="1:26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42"/>
      <c r="X400" s="7"/>
      <c r="Y400" s="7"/>
      <c r="Z400" s="7"/>
    </row>
    <row r="401" spans="1:26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42"/>
      <c r="X401" s="7"/>
      <c r="Y401" s="7"/>
      <c r="Z401" s="7"/>
    </row>
    <row r="402" spans="1:26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42"/>
      <c r="X402" s="7"/>
      <c r="Y402" s="7"/>
      <c r="Z402" s="7"/>
    </row>
    <row r="403" spans="1:26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42"/>
      <c r="X403" s="7"/>
      <c r="Y403" s="7"/>
      <c r="Z403" s="7"/>
    </row>
    <row r="404" spans="1:26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42"/>
      <c r="X404" s="7"/>
      <c r="Y404" s="7"/>
      <c r="Z404" s="7"/>
    </row>
    <row r="405" spans="1:26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42"/>
      <c r="X405" s="7"/>
      <c r="Y405" s="7"/>
      <c r="Z405" s="7"/>
    </row>
    <row r="406" spans="1:26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42"/>
      <c r="X406" s="7"/>
      <c r="Y406" s="7"/>
      <c r="Z406" s="7"/>
    </row>
    <row r="407" spans="1:26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42"/>
      <c r="X407" s="7"/>
      <c r="Y407" s="7"/>
      <c r="Z407" s="7"/>
    </row>
    <row r="408" spans="1:26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42"/>
      <c r="X408" s="7"/>
      <c r="Y408" s="7"/>
      <c r="Z408" s="7"/>
    </row>
    <row r="409" spans="1:26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42"/>
      <c r="X409" s="7"/>
      <c r="Y409" s="7"/>
      <c r="Z409" s="7"/>
    </row>
    <row r="410" spans="1:26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42"/>
      <c r="X410" s="7"/>
      <c r="Y410" s="7"/>
      <c r="Z410" s="7"/>
    </row>
    <row r="411" spans="1:26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42"/>
      <c r="X411" s="7"/>
      <c r="Y411" s="7"/>
      <c r="Z411" s="7"/>
    </row>
    <row r="412" spans="1:26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42"/>
      <c r="X412" s="7"/>
      <c r="Y412" s="7"/>
      <c r="Z412" s="7"/>
    </row>
    <row r="413" spans="1:26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42"/>
      <c r="X413" s="7"/>
      <c r="Y413" s="7"/>
      <c r="Z413" s="7"/>
    </row>
    <row r="414" spans="1:26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42"/>
      <c r="X414" s="7"/>
      <c r="Y414" s="7"/>
      <c r="Z414" s="7"/>
    </row>
    <row r="415" spans="1:26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42"/>
      <c r="X415" s="7"/>
      <c r="Y415" s="7"/>
      <c r="Z415" s="7"/>
    </row>
    <row r="416" spans="1:26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42"/>
      <c r="X416" s="7"/>
      <c r="Y416" s="7"/>
      <c r="Z416" s="7"/>
    </row>
    <row r="417" spans="1:26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42"/>
      <c r="X417" s="7"/>
      <c r="Y417" s="7"/>
      <c r="Z417" s="7"/>
    </row>
    <row r="418" spans="1:26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42"/>
      <c r="X418" s="7"/>
      <c r="Y418" s="7"/>
      <c r="Z418" s="7"/>
    </row>
    <row r="419" spans="1:26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42"/>
      <c r="X419" s="7"/>
      <c r="Y419" s="7"/>
      <c r="Z419" s="7"/>
    </row>
    <row r="420" spans="1:26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42"/>
      <c r="X420" s="7"/>
      <c r="Y420" s="7"/>
      <c r="Z420" s="7"/>
    </row>
    <row r="421" spans="1:26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42"/>
      <c r="X421" s="7"/>
      <c r="Y421" s="7"/>
      <c r="Z421" s="7"/>
    </row>
    <row r="422" spans="1:26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42"/>
      <c r="X422" s="7"/>
      <c r="Y422" s="7"/>
      <c r="Z422" s="7"/>
    </row>
    <row r="423" spans="1:26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42"/>
      <c r="X423" s="7"/>
      <c r="Y423" s="7"/>
      <c r="Z423" s="7"/>
    </row>
    <row r="424" spans="1:26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42"/>
      <c r="X424" s="7"/>
      <c r="Y424" s="7"/>
      <c r="Z424" s="7"/>
    </row>
    <row r="425" spans="1:26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42"/>
      <c r="X425" s="7"/>
      <c r="Y425" s="7"/>
      <c r="Z425" s="7"/>
    </row>
    <row r="426" spans="1:26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42"/>
      <c r="X426" s="7"/>
      <c r="Y426" s="7"/>
      <c r="Z426" s="7"/>
    </row>
    <row r="427" spans="1:26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42"/>
      <c r="X427" s="7"/>
      <c r="Y427" s="7"/>
      <c r="Z427" s="7"/>
    </row>
    <row r="428" spans="1:26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42"/>
      <c r="X428" s="7"/>
      <c r="Y428" s="7"/>
      <c r="Z428" s="7"/>
    </row>
    <row r="429" spans="1:26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42"/>
      <c r="X429" s="7"/>
      <c r="Y429" s="7"/>
      <c r="Z429" s="7"/>
    </row>
    <row r="430" spans="1:26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42"/>
      <c r="X430" s="7"/>
      <c r="Y430" s="7"/>
      <c r="Z430" s="7"/>
    </row>
    <row r="431" spans="1:26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42"/>
      <c r="X431" s="7"/>
      <c r="Y431" s="7"/>
      <c r="Z431" s="7"/>
    </row>
    <row r="432" spans="1:26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42"/>
      <c r="X432" s="7"/>
      <c r="Y432" s="7"/>
      <c r="Z432" s="7"/>
    </row>
    <row r="433" spans="1:26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42"/>
      <c r="X433" s="7"/>
      <c r="Y433" s="7"/>
      <c r="Z433" s="7"/>
    </row>
    <row r="434" spans="1:26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42"/>
      <c r="X434" s="7"/>
      <c r="Y434" s="7"/>
      <c r="Z434" s="7"/>
    </row>
    <row r="435" spans="1:26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42"/>
      <c r="X435" s="7"/>
      <c r="Y435" s="7"/>
      <c r="Z435" s="7"/>
    </row>
    <row r="436" spans="1:26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42"/>
      <c r="X436" s="7"/>
      <c r="Y436" s="7"/>
      <c r="Z436" s="7"/>
    </row>
    <row r="437" spans="1:26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42"/>
      <c r="X437" s="7"/>
      <c r="Y437" s="7"/>
      <c r="Z437" s="7"/>
    </row>
    <row r="438" spans="1:26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42"/>
      <c r="X438" s="7"/>
      <c r="Y438" s="7"/>
      <c r="Z438" s="7"/>
    </row>
    <row r="439" spans="1:26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42"/>
      <c r="X439" s="7"/>
      <c r="Y439" s="7"/>
      <c r="Z439" s="7"/>
    </row>
    <row r="440" spans="1:26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42"/>
      <c r="X440" s="7"/>
      <c r="Y440" s="7"/>
      <c r="Z440" s="7"/>
    </row>
    <row r="441" spans="1:26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42"/>
      <c r="X441" s="7"/>
      <c r="Y441" s="7"/>
      <c r="Z441" s="7"/>
    </row>
    <row r="442" spans="1:26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42"/>
      <c r="X442" s="7"/>
      <c r="Y442" s="7"/>
      <c r="Z442" s="7"/>
    </row>
    <row r="443" spans="1:26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42"/>
      <c r="X443" s="7"/>
      <c r="Y443" s="7"/>
      <c r="Z443" s="7"/>
    </row>
    <row r="444" spans="1:26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42"/>
      <c r="X444" s="7"/>
      <c r="Y444" s="7"/>
      <c r="Z444" s="7"/>
    </row>
    <row r="445" spans="1:26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42"/>
      <c r="X445" s="7"/>
      <c r="Y445" s="7"/>
      <c r="Z445" s="7"/>
    </row>
    <row r="446" spans="1:26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42"/>
      <c r="X446" s="7"/>
      <c r="Y446" s="7"/>
      <c r="Z446" s="7"/>
    </row>
    <row r="447" spans="1:26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42"/>
      <c r="X447" s="7"/>
      <c r="Y447" s="7"/>
      <c r="Z447" s="7"/>
    </row>
    <row r="448" spans="1:26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42"/>
      <c r="X448" s="7"/>
      <c r="Y448" s="7"/>
      <c r="Z448" s="7"/>
    </row>
    <row r="449" spans="1:26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42"/>
      <c r="X449" s="7"/>
      <c r="Y449" s="7"/>
      <c r="Z449" s="7"/>
    </row>
    <row r="450" spans="1:26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42"/>
      <c r="X450" s="7"/>
      <c r="Y450" s="7"/>
      <c r="Z450" s="7"/>
    </row>
    <row r="451" spans="1:26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42"/>
      <c r="X451" s="7"/>
      <c r="Y451" s="7"/>
      <c r="Z451" s="7"/>
    </row>
    <row r="452" spans="1:26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42"/>
      <c r="X452" s="7"/>
      <c r="Y452" s="7"/>
      <c r="Z452" s="7"/>
    </row>
    <row r="453" spans="1:26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42"/>
      <c r="X453" s="7"/>
      <c r="Y453" s="7"/>
      <c r="Z453" s="7"/>
    </row>
    <row r="454" spans="1:26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42"/>
      <c r="X454" s="7"/>
      <c r="Y454" s="7"/>
      <c r="Z454" s="7"/>
    </row>
    <row r="455" spans="1:26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42"/>
      <c r="X455" s="7"/>
      <c r="Y455" s="7"/>
      <c r="Z455" s="7"/>
    </row>
    <row r="456" spans="1:26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42"/>
      <c r="X456" s="7"/>
      <c r="Y456" s="7"/>
      <c r="Z456" s="7"/>
    </row>
    <row r="457" spans="1:26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42"/>
      <c r="X457" s="7"/>
      <c r="Y457" s="7"/>
      <c r="Z457" s="7"/>
    </row>
    <row r="458" spans="1:26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42"/>
      <c r="X458" s="7"/>
      <c r="Y458" s="7"/>
      <c r="Z458" s="7"/>
    </row>
    <row r="459" spans="1:26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42"/>
      <c r="X459" s="7"/>
      <c r="Y459" s="7"/>
      <c r="Z459" s="7"/>
    </row>
    <row r="460" spans="1:26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42"/>
      <c r="X460" s="7"/>
      <c r="Y460" s="7"/>
      <c r="Z460" s="7"/>
    </row>
    <row r="461" spans="1:26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42"/>
      <c r="X461" s="7"/>
      <c r="Y461" s="7"/>
      <c r="Z461" s="7"/>
    </row>
    <row r="462" spans="1:26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42"/>
      <c r="X462" s="7"/>
      <c r="Y462" s="7"/>
      <c r="Z462" s="7"/>
    </row>
    <row r="463" spans="1:26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42"/>
      <c r="X463" s="7"/>
      <c r="Y463" s="7"/>
      <c r="Z463" s="7"/>
    </row>
    <row r="464" spans="1:26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42"/>
      <c r="X464" s="7"/>
      <c r="Y464" s="7"/>
      <c r="Z464" s="7"/>
    </row>
    <row r="465" spans="1:26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42"/>
      <c r="X465" s="7"/>
      <c r="Y465" s="7"/>
      <c r="Z465" s="7"/>
    </row>
    <row r="466" spans="1:26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42"/>
      <c r="X466" s="7"/>
      <c r="Y466" s="7"/>
      <c r="Z466" s="7"/>
    </row>
    <row r="467" spans="1:26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42"/>
      <c r="X467" s="7"/>
      <c r="Y467" s="7"/>
      <c r="Z467" s="7"/>
    </row>
    <row r="468" spans="1:26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42"/>
      <c r="X468" s="7"/>
      <c r="Y468" s="7"/>
      <c r="Z468" s="7"/>
    </row>
    <row r="469" spans="1:26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42"/>
      <c r="X469" s="7"/>
      <c r="Y469" s="7"/>
      <c r="Z469" s="7"/>
    </row>
    <row r="470" spans="1:26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42"/>
      <c r="X470" s="7"/>
      <c r="Y470" s="7"/>
      <c r="Z470" s="7"/>
    </row>
    <row r="471" spans="1:26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42"/>
      <c r="X471" s="7"/>
      <c r="Y471" s="7"/>
      <c r="Z471" s="7"/>
    </row>
    <row r="472" spans="1:26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42"/>
      <c r="X472" s="7"/>
      <c r="Y472" s="7"/>
      <c r="Z472" s="7"/>
    </row>
    <row r="473" spans="1:26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42"/>
      <c r="X473" s="7"/>
      <c r="Y473" s="7"/>
      <c r="Z473" s="7"/>
    </row>
    <row r="474" spans="1:26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42"/>
      <c r="X474" s="7"/>
      <c r="Y474" s="7"/>
      <c r="Z474" s="7"/>
    </row>
    <row r="475" spans="1:26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42"/>
      <c r="X475" s="7"/>
      <c r="Y475" s="7"/>
      <c r="Z475" s="7"/>
    </row>
    <row r="476" spans="1:26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42"/>
      <c r="X476" s="7"/>
      <c r="Y476" s="7"/>
      <c r="Z476" s="7"/>
    </row>
    <row r="477" spans="1:26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42"/>
      <c r="X477" s="7"/>
      <c r="Y477" s="7"/>
      <c r="Z477" s="7"/>
    </row>
    <row r="478" spans="1:26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42"/>
      <c r="X478" s="7"/>
      <c r="Y478" s="7"/>
      <c r="Z478" s="7"/>
    </row>
    <row r="479" spans="1:26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42"/>
      <c r="X479" s="7"/>
      <c r="Y479" s="7"/>
      <c r="Z479" s="7"/>
    </row>
    <row r="480" spans="1:26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42"/>
      <c r="X480" s="7"/>
      <c r="Y480" s="7"/>
      <c r="Z480" s="7"/>
    </row>
    <row r="481" spans="1:26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42"/>
      <c r="X481" s="7"/>
      <c r="Y481" s="7"/>
      <c r="Z481" s="7"/>
    </row>
    <row r="482" spans="1:26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42"/>
      <c r="X482" s="7"/>
      <c r="Y482" s="7"/>
      <c r="Z482" s="7"/>
    </row>
    <row r="483" spans="1:26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42"/>
      <c r="X483" s="7"/>
      <c r="Y483" s="7"/>
      <c r="Z483" s="7"/>
    </row>
    <row r="484" spans="1:26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42"/>
      <c r="X484" s="7"/>
      <c r="Y484" s="7"/>
      <c r="Z484" s="7"/>
    </row>
    <row r="485" spans="1:26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42"/>
      <c r="X485" s="7"/>
      <c r="Y485" s="7"/>
      <c r="Z485" s="7"/>
    </row>
    <row r="486" spans="1:26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42"/>
      <c r="X486" s="7"/>
      <c r="Y486" s="7"/>
      <c r="Z486" s="7"/>
    </row>
    <row r="487" spans="1:26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42"/>
      <c r="X487" s="7"/>
      <c r="Y487" s="7"/>
      <c r="Z487" s="7"/>
    </row>
    <row r="488" spans="1:26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42"/>
      <c r="X488" s="7"/>
      <c r="Y488" s="7"/>
      <c r="Z488" s="7"/>
    </row>
    <row r="489" spans="1:26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42"/>
      <c r="X489" s="7"/>
      <c r="Y489" s="7"/>
      <c r="Z489" s="7"/>
    </row>
    <row r="490" spans="1:26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42"/>
      <c r="X490" s="7"/>
      <c r="Y490" s="7"/>
      <c r="Z490" s="7"/>
    </row>
    <row r="491" spans="1:26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42"/>
      <c r="X491" s="7"/>
      <c r="Y491" s="7"/>
      <c r="Z491" s="7"/>
    </row>
    <row r="492" spans="1:26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42"/>
      <c r="X492" s="7"/>
      <c r="Y492" s="7"/>
      <c r="Z492" s="7"/>
    </row>
    <row r="493" spans="1:26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42"/>
      <c r="X493" s="7"/>
      <c r="Y493" s="7"/>
      <c r="Z493" s="7"/>
    </row>
    <row r="494" spans="1:26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42"/>
      <c r="X494" s="7"/>
      <c r="Y494" s="7"/>
      <c r="Z494" s="7"/>
    </row>
    <row r="495" spans="1:26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42"/>
      <c r="X495" s="7"/>
      <c r="Y495" s="7"/>
      <c r="Z495" s="7"/>
    </row>
    <row r="496" spans="1:26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42"/>
      <c r="X496" s="7"/>
      <c r="Y496" s="7"/>
      <c r="Z496" s="7"/>
    </row>
    <row r="497" spans="1:26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42"/>
      <c r="X497" s="7"/>
      <c r="Y497" s="7"/>
      <c r="Z497" s="7"/>
    </row>
    <row r="498" spans="1:26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42"/>
      <c r="X498" s="7"/>
      <c r="Y498" s="7"/>
      <c r="Z498" s="7"/>
    </row>
    <row r="499" spans="1:26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42"/>
      <c r="X499" s="7"/>
      <c r="Y499" s="7"/>
      <c r="Z499" s="7"/>
    </row>
    <row r="500" spans="1:26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42"/>
      <c r="X500" s="7"/>
      <c r="Y500" s="7"/>
      <c r="Z500" s="7"/>
    </row>
    <row r="501" spans="1:26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42"/>
      <c r="X501" s="7"/>
      <c r="Y501" s="7"/>
      <c r="Z501" s="7"/>
    </row>
    <row r="502" spans="1:26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42"/>
      <c r="X502" s="7"/>
      <c r="Y502" s="7"/>
      <c r="Z502" s="7"/>
    </row>
    <row r="503" spans="1:26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42"/>
      <c r="X503" s="7"/>
      <c r="Y503" s="7"/>
      <c r="Z503" s="7"/>
    </row>
    <row r="504" spans="1:26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42"/>
      <c r="X504" s="7"/>
      <c r="Y504" s="7"/>
      <c r="Z504" s="7"/>
    </row>
    <row r="505" spans="1:26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42"/>
      <c r="X505" s="7"/>
      <c r="Y505" s="7"/>
      <c r="Z505" s="7"/>
    </row>
    <row r="506" spans="1:26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42"/>
      <c r="X506" s="7"/>
      <c r="Y506" s="7"/>
      <c r="Z506" s="7"/>
    </row>
    <row r="507" spans="1:26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42"/>
      <c r="X507" s="7"/>
      <c r="Y507" s="7"/>
      <c r="Z507" s="7"/>
    </row>
    <row r="508" spans="1:26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42"/>
      <c r="X508" s="7"/>
      <c r="Y508" s="7"/>
      <c r="Z508" s="7"/>
    </row>
    <row r="509" spans="1:26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42"/>
      <c r="X509" s="7"/>
      <c r="Y509" s="7"/>
      <c r="Z509" s="7"/>
    </row>
    <row r="510" spans="1:26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42"/>
      <c r="X510" s="7"/>
      <c r="Y510" s="7"/>
      <c r="Z510" s="7"/>
    </row>
    <row r="511" spans="1:26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42"/>
      <c r="X511" s="7"/>
      <c r="Y511" s="7"/>
      <c r="Z511" s="7"/>
    </row>
    <row r="512" spans="1:26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42"/>
      <c r="X512" s="7"/>
      <c r="Y512" s="7"/>
      <c r="Z512" s="7"/>
    </row>
    <row r="513" spans="1:26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42"/>
      <c r="X513" s="7"/>
      <c r="Y513" s="7"/>
      <c r="Z513" s="7"/>
    </row>
    <row r="514" spans="1:26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42"/>
      <c r="X514" s="7"/>
      <c r="Y514" s="7"/>
      <c r="Z514" s="7"/>
    </row>
    <row r="515" spans="1:26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42"/>
      <c r="X515" s="7"/>
      <c r="Y515" s="7"/>
      <c r="Z515" s="7"/>
    </row>
    <row r="516" spans="1:26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42"/>
      <c r="X516" s="7"/>
      <c r="Y516" s="7"/>
      <c r="Z516" s="7"/>
    </row>
    <row r="517" spans="1:26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42"/>
      <c r="X517" s="7"/>
      <c r="Y517" s="7"/>
      <c r="Z517" s="7"/>
    </row>
    <row r="518" spans="1:26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42"/>
      <c r="X518" s="7"/>
      <c r="Y518" s="7"/>
      <c r="Z518" s="7"/>
    </row>
    <row r="519" spans="1:26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42"/>
      <c r="X519" s="7"/>
      <c r="Y519" s="7"/>
      <c r="Z519" s="7"/>
    </row>
    <row r="520" spans="1:26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42"/>
      <c r="X520" s="7"/>
      <c r="Y520" s="7"/>
      <c r="Z520" s="7"/>
    </row>
    <row r="521" spans="1:26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42"/>
      <c r="X521" s="7"/>
      <c r="Y521" s="7"/>
      <c r="Z521" s="7"/>
    </row>
    <row r="522" spans="1:26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42"/>
      <c r="X522" s="7"/>
      <c r="Y522" s="7"/>
      <c r="Z522" s="7"/>
    </row>
    <row r="523" spans="1:26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42"/>
      <c r="X523" s="7"/>
      <c r="Y523" s="7"/>
      <c r="Z523" s="7"/>
    </row>
    <row r="524" spans="1:26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42"/>
      <c r="X524" s="7"/>
      <c r="Y524" s="7"/>
      <c r="Z524" s="7"/>
    </row>
    <row r="525" spans="1:26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42"/>
      <c r="X525" s="7"/>
      <c r="Y525" s="7"/>
      <c r="Z525" s="7"/>
    </row>
    <row r="526" spans="1:26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42"/>
      <c r="X526" s="7"/>
      <c r="Y526" s="7"/>
      <c r="Z526" s="7"/>
    </row>
    <row r="527" spans="1:26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42"/>
      <c r="X527" s="7"/>
      <c r="Y527" s="7"/>
      <c r="Z527" s="7"/>
    </row>
    <row r="528" spans="1:26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42"/>
      <c r="X528" s="7"/>
      <c r="Y528" s="7"/>
      <c r="Z528" s="7"/>
    </row>
    <row r="529" spans="1:26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42"/>
      <c r="X529" s="7"/>
      <c r="Y529" s="7"/>
      <c r="Z529" s="7"/>
    </row>
    <row r="530" spans="1:26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42"/>
      <c r="X530" s="7"/>
      <c r="Y530" s="7"/>
      <c r="Z530" s="7"/>
    </row>
    <row r="531" spans="1:26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42"/>
      <c r="X531" s="7"/>
      <c r="Y531" s="7"/>
      <c r="Z531" s="7"/>
    </row>
    <row r="532" spans="1:26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42"/>
      <c r="X532" s="7"/>
      <c r="Y532" s="7"/>
      <c r="Z532" s="7"/>
    </row>
    <row r="533" spans="1:26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42"/>
      <c r="X533" s="7"/>
      <c r="Y533" s="7"/>
      <c r="Z533" s="7"/>
    </row>
    <row r="534" spans="1:26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42"/>
      <c r="X534" s="7"/>
      <c r="Y534" s="7"/>
      <c r="Z534" s="7"/>
    </row>
    <row r="535" spans="1:26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42"/>
      <c r="X535" s="7"/>
      <c r="Y535" s="7"/>
      <c r="Z535" s="7"/>
    </row>
    <row r="536" spans="1:26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42"/>
      <c r="X536" s="7"/>
      <c r="Y536" s="7"/>
      <c r="Z536" s="7"/>
    </row>
    <row r="537" spans="1:26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42"/>
      <c r="X537" s="7"/>
      <c r="Y537" s="7"/>
      <c r="Z537" s="7"/>
    </row>
    <row r="538" spans="1:26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42"/>
      <c r="X538" s="7"/>
      <c r="Y538" s="7"/>
      <c r="Z538" s="7"/>
    </row>
    <row r="539" spans="1:26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42"/>
      <c r="X539" s="7"/>
      <c r="Y539" s="7"/>
      <c r="Z539" s="7"/>
    </row>
    <row r="540" spans="1:26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42"/>
      <c r="X540" s="7"/>
      <c r="Y540" s="7"/>
      <c r="Z540" s="7"/>
    </row>
    <row r="541" spans="1:26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42"/>
      <c r="X541" s="7"/>
      <c r="Y541" s="7"/>
      <c r="Z541" s="7"/>
    </row>
    <row r="542" spans="1:26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42"/>
      <c r="X542" s="7"/>
      <c r="Y542" s="7"/>
      <c r="Z542" s="7"/>
    </row>
    <row r="543" spans="1:26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42"/>
      <c r="X543" s="7"/>
      <c r="Y543" s="7"/>
      <c r="Z543" s="7"/>
    </row>
    <row r="544" spans="1:26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42"/>
      <c r="X544" s="7"/>
      <c r="Y544" s="7"/>
      <c r="Z544" s="7"/>
    </row>
    <row r="545" spans="1:26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42"/>
      <c r="X545" s="7"/>
      <c r="Y545" s="7"/>
      <c r="Z545" s="7"/>
    </row>
    <row r="546" spans="1:26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42"/>
      <c r="X546" s="7"/>
      <c r="Y546" s="7"/>
      <c r="Z546" s="7"/>
    </row>
    <row r="547" spans="1:26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42"/>
      <c r="X547" s="7"/>
      <c r="Y547" s="7"/>
      <c r="Z547" s="7"/>
    </row>
    <row r="548" spans="1:26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42"/>
      <c r="X548" s="7"/>
      <c r="Y548" s="7"/>
      <c r="Z548" s="7"/>
    </row>
    <row r="549" spans="1:26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42"/>
      <c r="X549" s="7"/>
      <c r="Y549" s="7"/>
      <c r="Z549" s="7"/>
    </row>
    <row r="550" spans="1:26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42"/>
      <c r="X550" s="7"/>
      <c r="Y550" s="7"/>
      <c r="Z550" s="7"/>
    </row>
    <row r="551" spans="1:26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42"/>
      <c r="X551" s="7"/>
      <c r="Y551" s="7"/>
      <c r="Z551" s="7"/>
    </row>
    <row r="552" spans="1:26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42"/>
      <c r="X552" s="7"/>
      <c r="Y552" s="7"/>
      <c r="Z552" s="7"/>
    </row>
    <row r="553" spans="1:26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42"/>
      <c r="X553" s="7"/>
      <c r="Y553" s="7"/>
      <c r="Z553" s="7"/>
    </row>
    <row r="554" spans="1:26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42"/>
      <c r="X554" s="7"/>
      <c r="Y554" s="7"/>
      <c r="Z554" s="7"/>
    </row>
    <row r="555" spans="1:26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42"/>
      <c r="X555" s="7"/>
      <c r="Y555" s="7"/>
      <c r="Z555" s="7"/>
    </row>
    <row r="556" spans="1:26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42"/>
      <c r="X556" s="7"/>
      <c r="Y556" s="7"/>
      <c r="Z556" s="7"/>
    </row>
    <row r="557" spans="1:26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42"/>
      <c r="X557" s="7"/>
      <c r="Y557" s="7"/>
      <c r="Z557" s="7"/>
    </row>
    <row r="558" spans="1:26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42"/>
      <c r="X558" s="7"/>
      <c r="Y558" s="7"/>
      <c r="Z558" s="7"/>
    </row>
    <row r="559" spans="1:26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42"/>
      <c r="X559" s="7"/>
      <c r="Y559" s="7"/>
      <c r="Z559" s="7"/>
    </row>
    <row r="560" spans="1:26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42"/>
      <c r="X560" s="7"/>
      <c r="Y560" s="7"/>
      <c r="Z560" s="7"/>
    </row>
    <row r="561" spans="1:26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42"/>
      <c r="X561" s="7"/>
      <c r="Y561" s="7"/>
      <c r="Z561" s="7"/>
    </row>
    <row r="562" spans="1:26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42"/>
      <c r="X562" s="7"/>
      <c r="Y562" s="7"/>
      <c r="Z562" s="7"/>
    </row>
    <row r="563" spans="1:26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42"/>
      <c r="X563" s="7"/>
      <c r="Y563" s="7"/>
      <c r="Z563" s="7"/>
    </row>
    <row r="564" spans="1:26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42"/>
      <c r="X564" s="7"/>
      <c r="Y564" s="7"/>
      <c r="Z564" s="7"/>
    </row>
    <row r="565" spans="1:26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42"/>
      <c r="X565" s="7"/>
      <c r="Y565" s="7"/>
      <c r="Z565" s="7"/>
    </row>
    <row r="566" spans="1:26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42"/>
      <c r="X566" s="7"/>
      <c r="Y566" s="7"/>
      <c r="Z566" s="7"/>
    </row>
    <row r="567" spans="1:26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42"/>
      <c r="X567" s="7"/>
      <c r="Y567" s="7"/>
      <c r="Z567" s="7"/>
    </row>
    <row r="568" spans="1:26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42"/>
      <c r="X568" s="7"/>
      <c r="Y568" s="7"/>
      <c r="Z568" s="7"/>
    </row>
    <row r="569" spans="1:26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42"/>
      <c r="X569" s="7"/>
      <c r="Y569" s="7"/>
      <c r="Z569" s="7"/>
    </row>
    <row r="570" spans="1:26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42"/>
      <c r="X570" s="7"/>
      <c r="Y570" s="7"/>
      <c r="Z570" s="7"/>
    </row>
    <row r="571" spans="1:26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42"/>
      <c r="X571" s="7"/>
      <c r="Y571" s="7"/>
      <c r="Z571" s="7"/>
    </row>
    <row r="572" spans="1:26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42"/>
      <c r="X572" s="7"/>
      <c r="Y572" s="7"/>
      <c r="Z572" s="7"/>
    </row>
    <row r="573" spans="1:26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42"/>
      <c r="X573" s="7"/>
      <c r="Y573" s="7"/>
      <c r="Z573" s="7"/>
    </row>
    <row r="574" spans="1:26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42"/>
      <c r="X574" s="7"/>
      <c r="Y574" s="7"/>
      <c r="Z574" s="7"/>
    </row>
    <row r="575" spans="1:26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42"/>
      <c r="X575" s="7"/>
      <c r="Y575" s="7"/>
      <c r="Z575" s="7"/>
    </row>
    <row r="576" spans="1:26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42"/>
      <c r="X576" s="7"/>
      <c r="Y576" s="7"/>
      <c r="Z576" s="7"/>
    </row>
    <row r="577" spans="1:26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42"/>
      <c r="X577" s="7"/>
      <c r="Y577" s="7"/>
      <c r="Z577" s="7"/>
    </row>
    <row r="578" spans="1:26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42"/>
      <c r="X578" s="7"/>
      <c r="Y578" s="7"/>
      <c r="Z578" s="7"/>
    </row>
    <row r="579" spans="1:26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42"/>
      <c r="X579" s="7"/>
      <c r="Y579" s="7"/>
      <c r="Z579" s="7"/>
    </row>
    <row r="580" spans="1:26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42"/>
      <c r="X580" s="7"/>
      <c r="Y580" s="7"/>
      <c r="Z580" s="7"/>
    </row>
    <row r="581" spans="1:26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42"/>
      <c r="X581" s="7"/>
      <c r="Y581" s="7"/>
      <c r="Z581" s="7"/>
    </row>
    <row r="582" spans="1:26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42"/>
      <c r="X582" s="7"/>
      <c r="Y582" s="7"/>
      <c r="Z582" s="7"/>
    </row>
    <row r="583" spans="1:26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42"/>
      <c r="X583" s="7"/>
      <c r="Y583" s="7"/>
      <c r="Z583" s="7"/>
    </row>
    <row r="584" spans="1:26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42"/>
      <c r="X584" s="7"/>
      <c r="Y584" s="7"/>
      <c r="Z584" s="7"/>
    </row>
    <row r="585" spans="1:26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42"/>
      <c r="X585" s="7"/>
      <c r="Y585" s="7"/>
      <c r="Z585" s="7"/>
    </row>
    <row r="586" spans="1:26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42"/>
      <c r="X586" s="7"/>
      <c r="Y586" s="7"/>
      <c r="Z586" s="7"/>
    </row>
    <row r="587" spans="1:26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42"/>
      <c r="X587" s="7"/>
      <c r="Y587" s="7"/>
      <c r="Z587" s="7"/>
    </row>
    <row r="588" spans="1:26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42"/>
      <c r="X588" s="7"/>
      <c r="Y588" s="7"/>
      <c r="Z588" s="7"/>
    </row>
    <row r="589" spans="1:26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42"/>
      <c r="X589" s="7"/>
      <c r="Y589" s="7"/>
      <c r="Z589" s="7"/>
    </row>
    <row r="590" spans="1:26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42"/>
      <c r="X590" s="7"/>
      <c r="Y590" s="7"/>
      <c r="Z590" s="7"/>
    </row>
    <row r="591" spans="1:26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42"/>
      <c r="X591" s="7"/>
      <c r="Y591" s="7"/>
      <c r="Z591" s="7"/>
    </row>
    <row r="592" spans="1:26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42"/>
      <c r="X592" s="7"/>
      <c r="Y592" s="7"/>
      <c r="Z592" s="7"/>
    </row>
    <row r="593" spans="1:26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42"/>
      <c r="X593" s="7"/>
      <c r="Y593" s="7"/>
      <c r="Z593" s="7"/>
    </row>
    <row r="594" spans="1:26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42"/>
      <c r="X594" s="7"/>
      <c r="Y594" s="7"/>
      <c r="Z594" s="7"/>
    </row>
    <row r="595" spans="1:26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42"/>
      <c r="X595" s="7"/>
      <c r="Y595" s="7"/>
      <c r="Z595" s="7"/>
    </row>
    <row r="596" spans="1:26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42"/>
      <c r="X596" s="7"/>
      <c r="Y596" s="7"/>
      <c r="Z596" s="7"/>
    </row>
    <row r="597" spans="1:26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42"/>
      <c r="X597" s="7"/>
      <c r="Y597" s="7"/>
      <c r="Z597" s="7"/>
    </row>
    <row r="598" spans="1:26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42"/>
      <c r="X598" s="7"/>
      <c r="Y598" s="7"/>
      <c r="Z598" s="7"/>
    </row>
    <row r="599" spans="1:26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42"/>
      <c r="X599" s="7"/>
      <c r="Y599" s="7"/>
      <c r="Z599" s="7"/>
    </row>
    <row r="600" spans="1:26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42"/>
      <c r="X600" s="7"/>
      <c r="Y600" s="7"/>
      <c r="Z600" s="7"/>
    </row>
    <row r="601" spans="1:26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42"/>
      <c r="X601" s="7"/>
      <c r="Y601" s="7"/>
      <c r="Z601" s="7"/>
    </row>
    <row r="602" spans="1:26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42"/>
      <c r="X602" s="7"/>
      <c r="Y602" s="7"/>
      <c r="Z602" s="7"/>
    </row>
    <row r="603" spans="1:26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42"/>
      <c r="X603" s="7"/>
      <c r="Y603" s="7"/>
      <c r="Z603" s="7"/>
    </row>
    <row r="604" spans="1:26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42"/>
      <c r="X604" s="7"/>
      <c r="Y604" s="7"/>
      <c r="Z604" s="7"/>
    </row>
    <row r="605" spans="1:26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42"/>
      <c r="X605" s="7"/>
      <c r="Y605" s="7"/>
      <c r="Z605" s="7"/>
    </row>
    <row r="606" spans="1:26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42"/>
      <c r="X606" s="7"/>
      <c r="Y606" s="7"/>
      <c r="Z606" s="7"/>
    </row>
    <row r="607" spans="1:26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42"/>
      <c r="X607" s="7"/>
      <c r="Y607" s="7"/>
      <c r="Z607" s="7"/>
    </row>
    <row r="608" spans="1:26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42"/>
      <c r="X608" s="7"/>
      <c r="Y608" s="7"/>
      <c r="Z608" s="7"/>
    </row>
    <row r="609" spans="1:26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42"/>
      <c r="X609" s="7"/>
      <c r="Y609" s="7"/>
      <c r="Z609" s="7"/>
    </row>
    <row r="610" spans="1:26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42"/>
      <c r="X610" s="7"/>
      <c r="Y610" s="7"/>
      <c r="Z610" s="7"/>
    </row>
    <row r="611" spans="1:26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42"/>
      <c r="X611" s="7"/>
      <c r="Y611" s="7"/>
      <c r="Z611" s="7"/>
    </row>
    <row r="612" spans="1:26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42"/>
      <c r="X612" s="7"/>
      <c r="Y612" s="7"/>
      <c r="Z612" s="7"/>
    </row>
    <row r="613" spans="1:26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42"/>
      <c r="X613" s="7"/>
      <c r="Y613" s="7"/>
      <c r="Z613" s="7"/>
    </row>
    <row r="614" spans="1:26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42"/>
      <c r="X614" s="7"/>
      <c r="Y614" s="7"/>
      <c r="Z614" s="7"/>
    </row>
    <row r="615" spans="1:26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42"/>
      <c r="X615" s="7"/>
      <c r="Y615" s="7"/>
      <c r="Z615" s="7"/>
    </row>
    <row r="616" spans="1:26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42"/>
      <c r="X616" s="7"/>
      <c r="Y616" s="7"/>
      <c r="Z616" s="7"/>
    </row>
    <row r="617" spans="1:26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42"/>
      <c r="X617" s="7"/>
      <c r="Y617" s="7"/>
      <c r="Z617" s="7"/>
    </row>
    <row r="618" spans="1:26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42"/>
      <c r="X618" s="7"/>
      <c r="Y618" s="7"/>
      <c r="Z618" s="7"/>
    </row>
    <row r="619" spans="1:26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42"/>
      <c r="X619" s="7"/>
      <c r="Y619" s="7"/>
      <c r="Z619" s="7"/>
    </row>
    <row r="620" spans="1:26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42"/>
      <c r="X620" s="7"/>
      <c r="Y620" s="7"/>
      <c r="Z620" s="7"/>
    </row>
    <row r="621" spans="1:26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42"/>
      <c r="X621" s="7"/>
      <c r="Y621" s="7"/>
      <c r="Z621" s="7"/>
    </row>
    <row r="622" spans="1:26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42"/>
      <c r="X622" s="7"/>
      <c r="Y622" s="7"/>
      <c r="Z622" s="7"/>
    </row>
    <row r="623" spans="1:26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42"/>
      <c r="X623" s="7"/>
      <c r="Y623" s="7"/>
      <c r="Z623" s="7"/>
    </row>
    <row r="624" spans="1:26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42"/>
      <c r="X624" s="7"/>
      <c r="Y624" s="7"/>
      <c r="Z624" s="7"/>
    </row>
    <row r="625" spans="1:26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42"/>
      <c r="X625" s="7"/>
      <c r="Y625" s="7"/>
      <c r="Z625" s="7"/>
    </row>
    <row r="626" spans="1:26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42"/>
      <c r="X626" s="7"/>
      <c r="Y626" s="7"/>
      <c r="Z626" s="7"/>
    </row>
    <row r="627" spans="1:26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42"/>
      <c r="X627" s="7"/>
      <c r="Y627" s="7"/>
      <c r="Z627" s="7"/>
    </row>
    <row r="628" spans="1:26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42"/>
      <c r="X628" s="7"/>
      <c r="Y628" s="7"/>
      <c r="Z628" s="7"/>
    </row>
    <row r="629" spans="1:26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42"/>
      <c r="X629" s="7"/>
      <c r="Y629" s="7"/>
      <c r="Z629" s="7"/>
    </row>
    <row r="630" spans="1:26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42"/>
      <c r="X630" s="7"/>
      <c r="Y630" s="7"/>
      <c r="Z630" s="7"/>
    </row>
    <row r="631" spans="1:26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42"/>
      <c r="X631" s="7"/>
      <c r="Y631" s="7"/>
      <c r="Z631" s="7"/>
    </row>
    <row r="632" spans="1:26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42"/>
      <c r="X632" s="7"/>
      <c r="Y632" s="7"/>
      <c r="Z632" s="7"/>
    </row>
    <row r="633" spans="1:26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42"/>
      <c r="X633" s="7"/>
      <c r="Y633" s="7"/>
      <c r="Z633" s="7"/>
    </row>
    <row r="634" spans="1:26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42"/>
      <c r="X634" s="7"/>
      <c r="Y634" s="7"/>
      <c r="Z634" s="7"/>
    </row>
    <row r="635" spans="1:26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42"/>
      <c r="X635" s="7"/>
      <c r="Y635" s="7"/>
      <c r="Z635" s="7"/>
    </row>
    <row r="636" spans="1:26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42"/>
      <c r="X636" s="7"/>
      <c r="Y636" s="7"/>
      <c r="Z636" s="7"/>
    </row>
    <row r="637" spans="1:26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42"/>
      <c r="X637" s="7"/>
      <c r="Y637" s="7"/>
      <c r="Z637" s="7"/>
    </row>
    <row r="638" spans="1:26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42"/>
      <c r="X638" s="7"/>
      <c r="Y638" s="7"/>
      <c r="Z638" s="7"/>
    </row>
    <row r="639" spans="1:26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42"/>
      <c r="X639" s="7"/>
      <c r="Y639" s="7"/>
      <c r="Z639" s="7"/>
    </row>
    <row r="640" spans="1:26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42"/>
      <c r="X640" s="7"/>
      <c r="Y640" s="7"/>
      <c r="Z640" s="7"/>
    </row>
    <row r="641" spans="1:26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42"/>
      <c r="X641" s="7"/>
      <c r="Y641" s="7"/>
      <c r="Z641" s="7"/>
    </row>
    <row r="642" spans="1:26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42"/>
      <c r="X642" s="7"/>
      <c r="Y642" s="7"/>
      <c r="Z642" s="7"/>
    </row>
    <row r="643" spans="1:26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42"/>
      <c r="X643" s="7"/>
      <c r="Y643" s="7"/>
      <c r="Z643" s="7"/>
    </row>
    <row r="644" spans="1:26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42"/>
      <c r="X644" s="7"/>
      <c r="Y644" s="7"/>
      <c r="Z644" s="7"/>
    </row>
    <row r="645" spans="1:26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42"/>
      <c r="X645" s="7"/>
      <c r="Y645" s="7"/>
      <c r="Z645" s="7"/>
    </row>
    <row r="646" spans="1:26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42"/>
      <c r="X646" s="7"/>
      <c r="Y646" s="7"/>
      <c r="Z646" s="7"/>
    </row>
    <row r="647" spans="1:26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42"/>
      <c r="X647" s="7"/>
      <c r="Y647" s="7"/>
      <c r="Z647" s="7"/>
    </row>
    <row r="648" spans="1:26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42"/>
      <c r="X648" s="7"/>
      <c r="Y648" s="7"/>
      <c r="Z648" s="7"/>
    </row>
    <row r="649" spans="1:26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42"/>
      <c r="X649" s="7"/>
      <c r="Y649" s="7"/>
      <c r="Z649" s="7"/>
    </row>
    <row r="650" spans="1:26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42"/>
      <c r="X650" s="7"/>
      <c r="Y650" s="7"/>
      <c r="Z650" s="7"/>
    </row>
    <row r="651" spans="1:26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42"/>
      <c r="X651" s="7"/>
      <c r="Y651" s="7"/>
      <c r="Z651" s="7"/>
    </row>
    <row r="652" spans="1:26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42"/>
      <c r="X652" s="7"/>
      <c r="Y652" s="7"/>
      <c r="Z652" s="7"/>
    </row>
    <row r="653" spans="1:26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42"/>
      <c r="X653" s="7"/>
      <c r="Y653" s="7"/>
      <c r="Z653" s="7"/>
    </row>
    <row r="654" spans="1:26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42"/>
      <c r="X654" s="7"/>
      <c r="Y654" s="7"/>
      <c r="Z654" s="7"/>
    </row>
    <row r="655" spans="1:26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42"/>
      <c r="X655" s="7"/>
      <c r="Y655" s="7"/>
      <c r="Z655" s="7"/>
    </row>
    <row r="656" spans="1:26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42"/>
      <c r="X656" s="7"/>
      <c r="Y656" s="7"/>
      <c r="Z656" s="7"/>
    </row>
    <row r="657" spans="1:26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42"/>
      <c r="X657" s="7"/>
      <c r="Y657" s="7"/>
      <c r="Z657" s="7"/>
    </row>
    <row r="658" spans="1:26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42"/>
      <c r="X658" s="7"/>
      <c r="Y658" s="7"/>
      <c r="Z658" s="7"/>
    </row>
    <row r="659" spans="1:26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42"/>
      <c r="X659" s="7"/>
      <c r="Y659" s="7"/>
      <c r="Z659" s="7"/>
    </row>
    <row r="660" spans="1:26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42"/>
      <c r="X660" s="7"/>
      <c r="Y660" s="7"/>
      <c r="Z660" s="7"/>
    </row>
    <row r="661" spans="1:26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42"/>
      <c r="X661" s="7"/>
      <c r="Y661" s="7"/>
      <c r="Z661" s="7"/>
    </row>
    <row r="662" spans="1:26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42"/>
      <c r="X662" s="7"/>
      <c r="Y662" s="7"/>
      <c r="Z662" s="7"/>
    </row>
    <row r="663" spans="1:26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42"/>
      <c r="X663" s="7"/>
      <c r="Y663" s="7"/>
      <c r="Z663" s="7"/>
    </row>
    <row r="664" spans="1:26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42"/>
      <c r="X664" s="7"/>
      <c r="Y664" s="7"/>
      <c r="Z664" s="7"/>
    </row>
    <row r="665" spans="1:26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42"/>
      <c r="X665" s="7"/>
      <c r="Y665" s="7"/>
      <c r="Z665" s="7"/>
    </row>
    <row r="666" spans="1:26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42"/>
      <c r="X666" s="7"/>
      <c r="Y666" s="7"/>
      <c r="Z666" s="7"/>
    </row>
    <row r="667" spans="1:26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42"/>
      <c r="X667" s="7"/>
      <c r="Y667" s="7"/>
      <c r="Z667" s="7"/>
    </row>
    <row r="668" spans="1:26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42"/>
      <c r="X668" s="7"/>
      <c r="Y668" s="7"/>
      <c r="Z668" s="7"/>
    </row>
    <row r="669" spans="1:26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42"/>
      <c r="X669" s="7"/>
      <c r="Y669" s="7"/>
      <c r="Z669" s="7"/>
    </row>
    <row r="670" spans="1:26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42"/>
      <c r="X670" s="7"/>
      <c r="Y670" s="7"/>
      <c r="Z670" s="7"/>
    </row>
    <row r="671" spans="1:26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42"/>
      <c r="X671" s="7"/>
      <c r="Y671" s="7"/>
      <c r="Z671" s="7"/>
    </row>
    <row r="672" spans="1:26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42"/>
      <c r="X672" s="7"/>
      <c r="Y672" s="7"/>
      <c r="Z672" s="7"/>
    </row>
    <row r="673" spans="1:26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42"/>
      <c r="X673" s="7"/>
      <c r="Y673" s="7"/>
      <c r="Z673" s="7"/>
    </row>
    <row r="674" spans="1:26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42"/>
      <c r="X674" s="7"/>
      <c r="Y674" s="7"/>
      <c r="Z674" s="7"/>
    </row>
    <row r="675" spans="1:26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42"/>
      <c r="X675" s="7"/>
      <c r="Y675" s="7"/>
      <c r="Z675" s="7"/>
    </row>
    <row r="676" spans="1:26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42"/>
      <c r="X676" s="7"/>
      <c r="Y676" s="7"/>
      <c r="Z676" s="7"/>
    </row>
    <row r="677" spans="1:26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42"/>
      <c r="X677" s="7"/>
      <c r="Y677" s="7"/>
      <c r="Z677" s="7"/>
    </row>
    <row r="678" spans="1:26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42"/>
      <c r="X678" s="7"/>
      <c r="Y678" s="7"/>
      <c r="Z678" s="7"/>
    </row>
    <row r="679" spans="1:26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42"/>
      <c r="X679" s="7"/>
      <c r="Y679" s="7"/>
      <c r="Z679" s="7"/>
    </row>
    <row r="680" spans="1:26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42"/>
      <c r="X680" s="7"/>
      <c r="Y680" s="7"/>
      <c r="Z680" s="7"/>
    </row>
    <row r="681" spans="1:26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42"/>
      <c r="X681" s="7"/>
      <c r="Y681" s="7"/>
      <c r="Z681" s="7"/>
    </row>
    <row r="682" spans="1:26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42"/>
      <c r="X682" s="7"/>
      <c r="Y682" s="7"/>
      <c r="Z682" s="7"/>
    </row>
    <row r="683" spans="1:26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42"/>
      <c r="X683" s="7"/>
      <c r="Y683" s="7"/>
      <c r="Z683" s="7"/>
    </row>
    <row r="684" spans="1:26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42"/>
      <c r="X684" s="7"/>
      <c r="Y684" s="7"/>
      <c r="Z684" s="7"/>
    </row>
    <row r="685" spans="1:26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42"/>
      <c r="X685" s="7"/>
      <c r="Y685" s="7"/>
      <c r="Z685" s="7"/>
    </row>
    <row r="686" spans="1:26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42"/>
      <c r="X686" s="7"/>
      <c r="Y686" s="7"/>
      <c r="Z686" s="7"/>
    </row>
    <row r="687" spans="1:26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42"/>
      <c r="X687" s="7"/>
      <c r="Y687" s="7"/>
      <c r="Z687" s="7"/>
    </row>
    <row r="688" spans="1:26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42"/>
      <c r="X688" s="7"/>
      <c r="Y688" s="7"/>
      <c r="Z688" s="7"/>
    </row>
    <row r="689" spans="1:26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42"/>
      <c r="X689" s="7"/>
      <c r="Y689" s="7"/>
      <c r="Z689" s="7"/>
    </row>
    <row r="690" spans="1:26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42"/>
      <c r="X690" s="7"/>
      <c r="Y690" s="7"/>
      <c r="Z690" s="7"/>
    </row>
    <row r="691" spans="1:26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42"/>
      <c r="X691" s="7"/>
      <c r="Y691" s="7"/>
      <c r="Z691" s="7"/>
    </row>
    <row r="692" spans="1:26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42"/>
      <c r="X692" s="7"/>
      <c r="Y692" s="7"/>
      <c r="Z692" s="7"/>
    </row>
    <row r="693" spans="1:26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42"/>
      <c r="X693" s="7"/>
      <c r="Y693" s="7"/>
      <c r="Z693" s="7"/>
    </row>
    <row r="694" spans="1:26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42"/>
      <c r="X694" s="7"/>
      <c r="Y694" s="7"/>
      <c r="Z694" s="7"/>
    </row>
    <row r="695" spans="1:26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42"/>
      <c r="X695" s="7"/>
      <c r="Y695" s="7"/>
      <c r="Z695" s="7"/>
    </row>
    <row r="696" spans="1:26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42"/>
      <c r="X696" s="7"/>
      <c r="Y696" s="7"/>
      <c r="Z696" s="7"/>
    </row>
    <row r="697" spans="1:26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42"/>
      <c r="X697" s="7"/>
      <c r="Y697" s="7"/>
      <c r="Z697" s="7"/>
    </row>
    <row r="698" spans="1:26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42"/>
      <c r="X698" s="7"/>
      <c r="Y698" s="7"/>
      <c r="Z698" s="7"/>
    </row>
    <row r="699" spans="1:26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42"/>
      <c r="X699" s="7"/>
      <c r="Y699" s="7"/>
      <c r="Z699" s="7"/>
    </row>
    <row r="700" spans="1:26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42"/>
      <c r="X700" s="7"/>
      <c r="Y700" s="7"/>
      <c r="Z700" s="7"/>
    </row>
    <row r="701" spans="1:26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42"/>
      <c r="X701" s="7"/>
      <c r="Y701" s="7"/>
      <c r="Z701" s="7"/>
    </row>
    <row r="702" spans="1:26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42"/>
      <c r="X702" s="7"/>
      <c r="Y702" s="7"/>
      <c r="Z702" s="7"/>
    </row>
    <row r="703" spans="1:26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42"/>
      <c r="X703" s="7"/>
      <c r="Y703" s="7"/>
      <c r="Z703" s="7"/>
    </row>
    <row r="704" spans="1:26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42"/>
      <c r="X704" s="7"/>
      <c r="Y704" s="7"/>
      <c r="Z704" s="7"/>
    </row>
    <row r="705" spans="1:26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42"/>
      <c r="X705" s="7"/>
      <c r="Y705" s="7"/>
      <c r="Z705" s="7"/>
    </row>
    <row r="706" spans="1:26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42"/>
      <c r="X706" s="7"/>
      <c r="Y706" s="7"/>
      <c r="Z706" s="7"/>
    </row>
    <row r="707" spans="1:26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42"/>
      <c r="X707" s="7"/>
      <c r="Y707" s="7"/>
      <c r="Z707" s="7"/>
    </row>
    <row r="708" spans="1:26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42"/>
      <c r="X708" s="7"/>
      <c r="Y708" s="7"/>
      <c r="Z708" s="7"/>
    </row>
    <row r="709" spans="1:26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42"/>
      <c r="X709" s="7"/>
      <c r="Y709" s="7"/>
      <c r="Z709" s="7"/>
    </row>
    <row r="710" spans="1:26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42"/>
      <c r="X710" s="7"/>
      <c r="Y710" s="7"/>
      <c r="Z710" s="7"/>
    </row>
    <row r="711" spans="1:26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42"/>
      <c r="X711" s="7"/>
      <c r="Y711" s="7"/>
      <c r="Z711" s="7"/>
    </row>
    <row r="712" spans="1:26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42"/>
      <c r="X712" s="7"/>
      <c r="Y712" s="7"/>
      <c r="Z712" s="7"/>
    </row>
    <row r="713" spans="1:26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42"/>
      <c r="X713" s="7"/>
      <c r="Y713" s="7"/>
      <c r="Z713" s="7"/>
    </row>
    <row r="714" spans="1:26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42"/>
      <c r="X714" s="7"/>
      <c r="Y714" s="7"/>
      <c r="Z714" s="7"/>
    </row>
    <row r="715" spans="1:26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42"/>
      <c r="X715" s="7"/>
      <c r="Y715" s="7"/>
      <c r="Z715" s="7"/>
    </row>
    <row r="716" spans="1:26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42"/>
      <c r="X716" s="7"/>
      <c r="Y716" s="7"/>
      <c r="Z716" s="7"/>
    </row>
    <row r="717" spans="1:26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42"/>
      <c r="X717" s="7"/>
      <c r="Y717" s="7"/>
      <c r="Z717" s="7"/>
    </row>
    <row r="718" spans="1:26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42"/>
      <c r="X718" s="7"/>
      <c r="Y718" s="7"/>
      <c r="Z718" s="7"/>
    </row>
    <row r="719" spans="1:26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42"/>
      <c r="X719" s="7"/>
      <c r="Y719" s="7"/>
      <c r="Z719" s="7"/>
    </row>
    <row r="720" spans="1:26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42"/>
      <c r="X720" s="7"/>
      <c r="Y720" s="7"/>
      <c r="Z720" s="7"/>
    </row>
    <row r="721" spans="1:26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42"/>
      <c r="X721" s="7"/>
      <c r="Y721" s="7"/>
      <c r="Z721" s="7"/>
    </row>
    <row r="722" spans="1:26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42"/>
      <c r="X722" s="7"/>
      <c r="Y722" s="7"/>
      <c r="Z722" s="7"/>
    </row>
    <row r="723" spans="1:26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42"/>
      <c r="X723" s="7"/>
      <c r="Y723" s="7"/>
      <c r="Z723" s="7"/>
    </row>
    <row r="724" spans="1:26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42"/>
      <c r="X724" s="7"/>
      <c r="Y724" s="7"/>
      <c r="Z724" s="7"/>
    </row>
    <row r="725" spans="1:26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42"/>
      <c r="X725" s="7"/>
      <c r="Y725" s="7"/>
      <c r="Z725" s="7"/>
    </row>
    <row r="726" spans="1:26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42"/>
      <c r="X726" s="7"/>
      <c r="Y726" s="7"/>
      <c r="Z726" s="7"/>
    </row>
    <row r="727" spans="1:26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42"/>
      <c r="X727" s="7"/>
      <c r="Y727" s="7"/>
      <c r="Z727" s="7"/>
    </row>
    <row r="728" spans="1:26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42"/>
      <c r="X728" s="7"/>
      <c r="Y728" s="7"/>
      <c r="Z728" s="7"/>
    </row>
    <row r="729" spans="1:26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42"/>
      <c r="X729" s="7"/>
      <c r="Y729" s="7"/>
      <c r="Z729" s="7"/>
    </row>
    <row r="730" spans="1:26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42"/>
      <c r="X730" s="7"/>
      <c r="Y730" s="7"/>
      <c r="Z730" s="7"/>
    </row>
    <row r="731" spans="1:26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42"/>
      <c r="X731" s="7"/>
      <c r="Y731" s="7"/>
      <c r="Z731" s="7"/>
    </row>
    <row r="732" spans="1:26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42"/>
      <c r="X732" s="7"/>
      <c r="Y732" s="7"/>
      <c r="Z732" s="7"/>
    </row>
    <row r="733" spans="1:26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42"/>
      <c r="X733" s="7"/>
      <c r="Y733" s="7"/>
      <c r="Z733" s="7"/>
    </row>
    <row r="734" spans="1:26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42"/>
      <c r="X734" s="7"/>
      <c r="Y734" s="7"/>
      <c r="Z734" s="7"/>
    </row>
    <row r="735" spans="1:26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42"/>
      <c r="X735" s="7"/>
      <c r="Y735" s="7"/>
      <c r="Z735" s="7"/>
    </row>
    <row r="736" spans="1:26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42"/>
      <c r="X736" s="7"/>
      <c r="Y736" s="7"/>
      <c r="Z736" s="7"/>
    </row>
    <row r="737" spans="1:26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42"/>
      <c r="X737" s="7"/>
      <c r="Y737" s="7"/>
      <c r="Z737" s="7"/>
    </row>
    <row r="738" spans="1:26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42"/>
      <c r="X738" s="7"/>
      <c r="Y738" s="7"/>
      <c r="Z738" s="7"/>
    </row>
    <row r="739" spans="1:26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42"/>
      <c r="X739" s="7"/>
      <c r="Y739" s="7"/>
      <c r="Z739" s="7"/>
    </row>
    <row r="740" spans="1:26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42"/>
      <c r="X740" s="7"/>
      <c r="Y740" s="7"/>
      <c r="Z740" s="7"/>
    </row>
    <row r="741" spans="1:26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42"/>
      <c r="X741" s="7"/>
      <c r="Y741" s="7"/>
      <c r="Z741" s="7"/>
    </row>
    <row r="742" spans="1:26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42"/>
      <c r="X742" s="7"/>
      <c r="Y742" s="7"/>
      <c r="Z742" s="7"/>
    </row>
    <row r="743" spans="1:26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42"/>
      <c r="X743" s="7"/>
      <c r="Y743" s="7"/>
      <c r="Z743" s="7"/>
    </row>
    <row r="744" spans="1:26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42"/>
      <c r="X744" s="7"/>
      <c r="Y744" s="7"/>
      <c r="Z744" s="7"/>
    </row>
    <row r="745" spans="1:26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42"/>
      <c r="X745" s="7"/>
      <c r="Y745" s="7"/>
      <c r="Z745" s="7"/>
    </row>
    <row r="746" spans="1:26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42"/>
      <c r="X746" s="7"/>
      <c r="Y746" s="7"/>
      <c r="Z746" s="7"/>
    </row>
    <row r="747" spans="1:26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42"/>
      <c r="X747" s="7"/>
      <c r="Y747" s="7"/>
      <c r="Z747" s="7"/>
    </row>
    <row r="748" spans="1:26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42"/>
      <c r="X748" s="7"/>
      <c r="Y748" s="7"/>
      <c r="Z748" s="7"/>
    </row>
    <row r="749" spans="1:26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42"/>
      <c r="X749" s="7"/>
      <c r="Y749" s="7"/>
      <c r="Z749" s="7"/>
    </row>
    <row r="750" spans="1:26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42"/>
      <c r="X750" s="7"/>
      <c r="Y750" s="7"/>
      <c r="Z750" s="7"/>
    </row>
    <row r="751" spans="1:26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42"/>
      <c r="X751" s="7"/>
      <c r="Y751" s="7"/>
      <c r="Z751" s="7"/>
    </row>
    <row r="752" spans="1:26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42"/>
      <c r="X752" s="7"/>
      <c r="Y752" s="7"/>
      <c r="Z752" s="7"/>
    </row>
    <row r="753" spans="1:26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42"/>
      <c r="X753" s="7"/>
      <c r="Y753" s="7"/>
      <c r="Z753" s="7"/>
    </row>
    <row r="754" spans="1:26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42"/>
      <c r="X754" s="7"/>
      <c r="Y754" s="7"/>
      <c r="Z754" s="7"/>
    </row>
    <row r="755" spans="1:26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42"/>
      <c r="X755" s="7"/>
      <c r="Y755" s="7"/>
      <c r="Z755" s="7"/>
    </row>
    <row r="756" spans="1:26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42"/>
      <c r="X756" s="7"/>
      <c r="Y756" s="7"/>
      <c r="Z756" s="7"/>
    </row>
    <row r="757" spans="1:26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42"/>
      <c r="X757" s="7"/>
      <c r="Y757" s="7"/>
      <c r="Z757" s="7"/>
    </row>
    <row r="758" spans="1:26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42"/>
      <c r="X758" s="7"/>
      <c r="Y758" s="7"/>
      <c r="Z758" s="7"/>
    </row>
    <row r="759" spans="1:26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42"/>
      <c r="X759" s="7"/>
      <c r="Y759" s="7"/>
      <c r="Z759" s="7"/>
    </row>
    <row r="760" spans="1:26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42"/>
      <c r="X760" s="7"/>
      <c r="Y760" s="7"/>
      <c r="Z760" s="7"/>
    </row>
    <row r="761" spans="1:26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42"/>
      <c r="X761" s="7"/>
      <c r="Y761" s="7"/>
      <c r="Z761" s="7"/>
    </row>
    <row r="762" spans="1:26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42"/>
      <c r="X762" s="7"/>
      <c r="Y762" s="7"/>
      <c r="Z762" s="7"/>
    </row>
    <row r="763" spans="1:26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42"/>
      <c r="X763" s="7"/>
      <c r="Y763" s="7"/>
      <c r="Z763" s="7"/>
    </row>
    <row r="764" spans="1:26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42"/>
      <c r="X764" s="7"/>
      <c r="Y764" s="7"/>
      <c r="Z764" s="7"/>
    </row>
    <row r="765" spans="1:26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42"/>
      <c r="X765" s="7"/>
      <c r="Y765" s="7"/>
      <c r="Z765" s="7"/>
    </row>
    <row r="766" spans="1:26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42"/>
      <c r="X766" s="7"/>
      <c r="Y766" s="7"/>
      <c r="Z766" s="7"/>
    </row>
    <row r="767" spans="1:26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42"/>
      <c r="X767" s="7"/>
      <c r="Y767" s="7"/>
      <c r="Z767" s="7"/>
    </row>
    <row r="768" spans="1:26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42"/>
      <c r="X768" s="7"/>
      <c r="Y768" s="7"/>
      <c r="Z768" s="7"/>
    </row>
    <row r="769" spans="1:26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42"/>
      <c r="X769" s="7"/>
      <c r="Y769" s="7"/>
      <c r="Z769" s="7"/>
    </row>
    <row r="770" spans="1:26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42"/>
      <c r="X770" s="7"/>
      <c r="Y770" s="7"/>
      <c r="Z770" s="7"/>
    </row>
    <row r="771" spans="1:26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42"/>
      <c r="X771" s="7"/>
      <c r="Y771" s="7"/>
      <c r="Z771" s="7"/>
    </row>
    <row r="772" spans="1:26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42"/>
      <c r="X772" s="7"/>
      <c r="Y772" s="7"/>
      <c r="Z772" s="7"/>
    </row>
    <row r="773" spans="1:26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42"/>
      <c r="X773" s="7"/>
      <c r="Y773" s="7"/>
      <c r="Z773" s="7"/>
    </row>
    <row r="774" spans="1:26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42"/>
      <c r="X774" s="7"/>
      <c r="Y774" s="7"/>
      <c r="Z774" s="7"/>
    </row>
    <row r="775" spans="1:26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42"/>
      <c r="X775" s="7"/>
      <c r="Y775" s="7"/>
      <c r="Z775" s="7"/>
    </row>
    <row r="776" spans="1:26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42"/>
      <c r="X776" s="7"/>
      <c r="Y776" s="7"/>
      <c r="Z776" s="7"/>
    </row>
    <row r="777" spans="1:26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42"/>
      <c r="X777" s="7"/>
      <c r="Y777" s="7"/>
      <c r="Z777" s="7"/>
    </row>
    <row r="778" spans="1:26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42"/>
      <c r="X778" s="7"/>
      <c r="Y778" s="7"/>
      <c r="Z778" s="7"/>
    </row>
    <row r="779" spans="1:26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42"/>
      <c r="X779" s="7"/>
      <c r="Y779" s="7"/>
      <c r="Z779" s="7"/>
    </row>
    <row r="780" spans="1:26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42"/>
      <c r="X780" s="7"/>
      <c r="Y780" s="7"/>
      <c r="Z780" s="7"/>
    </row>
    <row r="781" spans="1:26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42"/>
      <c r="X781" s="7"/>
      <c r="Y781" s="7"/>
      <c r="Z781" s="7"/>
    </row>
    <row r="782" spans="1:26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42"/>
      <c r="X782" s="7"/>
      <c r="Y782" s="7"/>
      <c r="Z782" s="7"/>
    </row>
    <row r="783" spans="1:26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42"/>
      <c r="X783" s="7"/>
      <c r="Y783" s="7"/>
      <c r="Z783" s="7"/>
    </row>
    <row r="784" spans="1:26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42"/>
      <c r="X784" s="7"/>
      <c r="Y784" s="7"/>
      <c r="Z784" s="7"/>
    </row>
    <row r="785" spans="1:26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42"/>
      <c r="X785" s="7"/>
      <c r="Y785" s="7"/>
      <c r="Z785" s="7"/>
    </row>
    <row r="786" spans="1:26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42"/>
      <c r="X786" s="7"/>
      <c r="Y786" s="7"/>
      <c r="Z786" s="7"/>
    </row>
    <row r="787" spans="1:26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42"/>
      <c r="X787" s="7"/>
      <c r="Y787" s="7"/>
      <c r="Z787" s="7"/>
    </row>
    <row r="788" spans="1:26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42"/>
      <c r="X788" s="7"/>
      <c r="Y788" s="7"/>
      <c r="Z788" s="7"/>
    </row>
    <row r="789" spans="1:26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42"/>
      <c r="X789" s="7"/>
      <c r="Y789" s="7"/>
      <c r="Z789" s="7"/>
    </row>
    <row r="790" spans="1:26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42"/>
      <c r="X790" s="7"/>
      <c r="Y790" s="7"/>
      <c r="Z790" s="7"/>
    </row>
    <row r="791" spans="1:26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42"/>
      <c r="X791" s="7"/>
      <c r="Y791" s="7"/>
      <c r="Z791" s="7"/>
    </row>
    <row r="792" spans="1:26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42"/>
      <c r="X792" s="7"/>
      <c r="Y792" s="7"/>
      <c r="Z792" s="7"/>
    </row>
    <row r="793" spans="1:26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42"/>
      <c r="X793" s="7"/>
      <c r="Y793" s="7"/>
      <c r="Z793" s="7"/>
    </row>
    <row r="794" spans="1:26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42"/>
      <c r="X794" s="7"/>
      <c r="Y794" s="7"/>
      <c r="Z794" s="7"/>
    </row>
    <row r="795" spans="1:26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42"/>
      <c r="X795" s="7"/>
      <c r="Y795" s="7"/>
      <c r="Z795" s="7"/>
    </row>
    <row r="796" spans="1:26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42"/>
      <c r="X796" s="7"/>
      <c r="Y796" s="7"/>
      <c r="Z796" s="7"/>
    </row>
    <row r="797" spans="1:26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42"/>
      <c r="X797" s="7"/>
      <c r="Y797" s="7"/>
      <c r="Z797" s="7"/>
    </row>
    <row r="798" spans="1:26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42"/>
      <c r="X798" s="7"/>
      <c r="Y798" s="7"/>
      <c r="Z798" s="7"/>
    </row>
    <row r="799" spans="1:26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42"/>
      <c r="X799" s="7"/>
      <c r="Y799" s="7"/>
      <c r="Z799" s="7"/>
    </row>
    <row r="800" spans="1:26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42"/>
      <c r="X800" s="7"/>
      <c r="Y800" s="7"/>
      <c r="Z800" s="7"/>
    </row>
    <row r="801" spans="1:26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42"/>
      <c r="X801" s="7"/>
      <c r="Y801" s="7"/>
      <c r="Z801" s="7"/>
    </row>
    <row r="802" spans="1:26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42"/>
      <c r="X802" s="7"/>
      <c r="Y802" s="7"/>
      <c r="Z802" s="7"/>
    </row>
    <row r="803" spans="1:26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42"/>
      <c r="X803" s="7"/>
      <c r="Y803" s="7"/>
      <c r="Z803" s="7"/>
    </row>
    <row r="804" spans="1:26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42"/>
      <c r="X804" s="7"/>
      <c r="Y804" s="7"/>
      <c r="Z804" s="7"/>
    </row>
    <row r="805" spans="1:26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42"/>
      <c r="X805" s="7"/>
      <c r="Y805" s="7"/>
      <c r="Z805" s="7"/>
    </row>
    <row r="806" spans="1:26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42"/>
      <c r="X806" s="7"/>
      <c r="Y806" s="7"/>
      <c r="Z806" s="7"/>
    </row>
    <row r="807" spans="1:26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42"/>
      <c r="X807" s="7"/>
      <c r="Y807" s="7"/>
      <c r="Z807" s="7"/>
    </row>
    <row r="808" spans="1:26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42"/>
      <c r="X808" s="7"/>
      <c r="Y808" s="7"/>
      <c r="Z808" s="7"/>
    </row>
    <row r="809" spans="1:26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42"/>
      <c r="X809" s="7"/>
      <c r="Y809" s="7"/>
      <c r="Z809" s="7"/>
    </row>
    <row r="810" spans="1:26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42"/>
      <c r="X810" s="7"/>
      <c r="Y810" s="7"/>
      <c r="Z810" s="7"/>
    </row>
    <row r="811" spans="1:26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42"/>
      <c r="X811" s="7"/>
      <c r="Y811" s="7"/>
      <c r="Z811" s="7"/>
    </row>
    <row r="812" spans="1:26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42"/>
      <c r="X812" s="7"/>
      <c r="Y812" s="7"/>
      <c r="Z812" s="7"/>
    </row>
    <row r="813" spans="1:26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42"/>
      <c r="X813" s="7"/>
      <c r="Y813" s="7"/>
      <c r="Z813" s="7"/>
    </row>
    <row r="814" spans="1:26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42"/>
      <c r="X814" s="7"/>
      <c r="Y814" s="7"/>
      <c r="Z814" s="7"/>
    </row>
    <row r="815" spans="1:26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42"/>
      <c r="X815" s="7"/>
      <c r="Y815" s="7"/>
      <c r="Z815" s="7"/>
    </row>
    <row r="816" spans="1:26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42"/>
      <c r="X816" s="7"/>
      <c r="Y816" s="7"/>
      <c r="Z816" s="7"/>
    </row>
    <row r="817" spans="1:26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42"/>
      <c r="X817" s="7"/>
      <c r="Y817" s="7"/>
      <c r="Z817" s="7"/>
    </row>
    <row r="818" spans="1:26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42"/>
      <c r="X818" s="7"/>
      <c r="Y818" s="7"/>
      <c r="Z818" s="7"/>
    </row>
    <row r="819" spans="1:26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42"/>
      <c r="X819" s="7"/>
      <c r="Y819" s="7"/>
      <c r="Z819" s="7"/>
    </row>
    <row r="820" spans="1:26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42"/>
      <c r="X820" s="7"/>
      <c r="Y820" s="7"/>
      <c r="Z820" s="7"/>
    </row>
    <row r="821" spans="1:26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42"/>
      <c r="X821" s="7"/>
      <c r="Y821" s="7"/>
      <c r="Z821" s="7"/>
    </row>
    <row r="822" spans="1:26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42"/>
      <c r="X822" s="7"/>
      <c r="Y822" s="7"/>
      <c r="Z822" s="7"/>
    </row>
    <row r="823" spans="1:26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42"/>
      <c r="X823" s="7"/>
      <c r="Y823" s="7"/>
      <c r="Z823" s="7"/>
    </row>
    <row r="824" spans="1:26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42"/>
      <c r="X824" s="7"/>
      <c r="Y824" s="7"/>
      <c r="Z824" s="7"/>
    </row>
    <row r="825" spans="1:26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42"/>
      <c r="X825" s="7"/>
      <c r="Y825" s="7"/>
      <c r="Z825" s="7"/>
    </row>
    <row r="826" spans="1:26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42"/>
      <c r="X826" s="7"/>
      <c r="Y826" s="7"/>
      <c r="Z826" s="7"/>
    </row>
    <row r="827" spans="1:26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42"/>
      <c r="X827" s="7"/>
      <c r="Y827" s="7"/>
      <c r="Z827" s="7"/>
    </row>
    <row r="828" spans="1:26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42"/>
      <c r="X828" s="7"/>
      <c r="Y828" s="7"/>
      <c r="Z828" s="7"/>
    </row>
    <row r="829" spans="1:26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42"/>
      <c r="X829" s="7"/>
      <c r="Y829" s="7"/>
      <c r="Z829" s="7"/>
    </row>
    <row r="830" spans="1:26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42"/>
      <c r="X830" s="7"/>
      <c r="Y830" s="7"/>
      <c r="Z830" s="7"/>
    </row>
    <row r="831" spans="1:26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42"/>
      <c r="X831" s="7"/>
      <c r="Y831" s="7"/>
      <c r="Z831" s="7"/>
    </row>
    <row r="832" spans="1:26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42"/>
      <c r="X832" s="7"/>
      <c r="Y832" s="7"/>
      <c r="Z832" s="7"/>
    </row>
    <row r="833" spans="1:26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42"/>
      <c r="X833" s="7"/>
      <c r="Y833" s="7"/>
      <c r="Z833" s="7"/>
    </row>
    <row r="834" spans="1:26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42"/>
      <c r="X834" s="7"/>
      <c r="Y834" s="7"/>
      <c r="Z834" s="7"/>
    </row>
    <row r="835" spans="1:26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42"/>
      <c r="X835" s="7"/>
      <c r="Y835" s="7"/>
      <c r="Z835" s="7"/>
    </row>
    <row r="836" spans="1:26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42"/>
      <c r="X836" s="7"/>
      <c r="Y836" s="7"/>
      <c r="Z836" s="7"/>
    </row>
    <row r="837" spans="1:26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42"/>
      <c r="X837" s="7"/>
      <c r="Y837" s="7"/>
      <c r="Z837" s="7"/>
    </row>
    <row r="838" spans="1:26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42"/>
      <c r="X838" s="7"/>
      <c r="Y838" s="7"/>
      <c r="Z838" s="7"/>
    </row>
    <row r="839" spans="1:26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42"/>
      <c r="X839" s="7"/>
      <c r="Y839" s="7"/>
      <c r="Z839" s="7"/>
    </row>
    <row r="840" spans="1:26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42"/>
      <c r="X840" s="7"/>
      <c r="Y840" s="7"/>
      <c r="Z840" s="7"/>
    </row>
    <row r="841" spans="1:26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42"/>
      <c r="X841" s="7"/>
      <c r="Y841" s="7"/>
      <c r="Z841" s="7"/>
    </row>
    <row r="842" spans="1:26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42"/>
      <c r="X842" s="7"/>
      <c r="Y842" s="7"/>
      <c r="Z842" s="7"/>
    </row>
    <row r="843" spans="1:26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42"/>
      <c r="X843" s="7"/>
      <c r="Y843" s="7"/>
      <c r="Z843" s="7"/>
    </row>
    <row r="844" spans="1:26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42"/>
      <c r="X844" s="7"/>
      <c r="Y844" s="7"/>
      <c r="Z844" s="7"/>
    </row>
    <row r="845" spans="1:26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42"/>
      <c r="X845" s="7"/>
      <c r="Y845" s="7"/>
      <c r="Z845" s="7"/>
    </row>
    <row r="846" spans="1:26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42"/>
      <c r="X846" s="7"/>
      <c r="Y846" s="7"/>
      <c r="Z846" s="7"/>
    </row>
    <row r="847" spans="1:26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42"/>
      <c r="X847" s="7"/>
      <c r="Y847" s="7"/>
      <c r="Z847" s="7"/>
    </row>
    <row r="848" spans="1:26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42"/>
      <c r="X848" s="7"/>
      <c r="Y848" s="7"/>
      <c r="Z848" s="7"/>
    </row>
    <row r="849" spans="1:26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42"/>
      <c r="X849" s="7"/>
      <c r="Y849" s="7"/>
      <c r="Z849" s="7"/>
    </row>
    <row r="850" spans="1:26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42"/>
      <c r="X850" s="7"/>
      <c r="Y850" s="7"/>
      <c r="Z850" s="7"/>
    </row>
    <row r="851" spans="1:26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42"/>
      <c r="X851" s="7"/>
      <c r="Y851" s="7"/>
      <c r="Z851" s="7"/>
    </row>
    <row r="852" spans="1:26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42"/>
      <c r="X852" s="7"/>
      <c r="Y852" s="7"/>
      <c r="Z852" s="7"/>
    </row>
    <row r="853" spans="1:26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42"/>
      <c r="X853" s="7"/>
      <c r="Y853" s="7"/>
      <c r="Z853" s="7"/>
    </row>
    <row r="854" spans="1:26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42"/>
      <c r="X854" s="7"/>
      <c r="Y854" s="7"/>
      <c r="Z854" s="7"/>
    </row>
    <row r="855" spans="1:26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42"/>
      <c r="X855" s="7"/>
      <c r="Y855" s="7"/>
      <c r="Z855" s="7"/>
    </row>
    <row r="856" spans="1:26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42"/>
      <c r="X856" s="7"/>
      <c r="Y856" s="7"/>
      <c r="Z856" s="7"/>
    </row>
    <row r="857" spans="1:26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42"/>
      <c r="X857" s="7"/>
      <c r="Y857" s="7"/>
      <c r="Z857" s="7"/>
    </row>
    <row r="858" spans="1:26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42"/>
      <c r="X858" s="7"/>
      <c r="Y858" s="7"/>
      <c r="Z858" s="7"/>
    </row>
    <row r="859" spans="1:26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42"/>
      <c r="X859" s="7"/>
      <c r="Y859" s="7"/>
      <c r="Z859" s="7"/>
    </row>
    <row r="860" spans="1:26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42"/>
      <c r="X860" s="7"/>
      <c r="Y860" s="7"/>
      <c r="Z860" s="7"/>
    </row>
    <row r="861" spans="1:26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42"/>
      <c r="X861" s="7"/>
      <c r="Y861" s="7"/>
      <c r="Z861" s="7"/>
    </row>
    <row r="862" spans="1:26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42"/>
      <c r="X862" s="7"/>
      <c r="Y862" s="7"/>
      <c r="Z862" s="7"/>
    </row>
    <row r="863" spans="1:26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42"/>
      <c r="X863" s="7"/>
      <c r="Y863" s="7"/>
      <c r="Z863" s="7"/>
    </row>
    <row r="864" spans="1:26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42"/>
      <c r="X864" s="7"/>
      <c r="Y864" s="7"/>
      <c r="Z864" s="7"/>
    </row>
    <row r="865" spans="1:26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42"/>
      <c r="X865" s="7"/>
      <c r="Y865" s="7"/>
      <c r="Z865" s="7"/>
    </row>
    <row r="866" spans="1:26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42"/>
      <c r="X866" s="7"/>
      <c r="Y866" s="7"/>
      <c r="Z866" s="7"/>
    </row>
    <row r="867" spans="1:26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42"/>
      <c r="X867" s="7"/>
      <c r="Y867" s="7"/>
      <c r="Z867" s="7"/>
    </row>
    <row r="868" spans="1:26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42"/>
      <c r="X868" s="7"/>
      <c r="Y868" s="7"/>
      <c r="Z868" s="7"/>
    </row>
    <row r="869" spans="1:26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42"/>
      <c r="X869" s="7"/>
      <c r="Y869" s="7"/>
      <c r="Z869" s="7"/>
    </row>
    <row r="870" spans="1:26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42"/>
      <c r="X870" s="7"/>
      <c r="Y870" s="7"/>
      <c r="Z870" s="7"/>
    </row>
    <row r="871" spans="1:26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42"/>
      <c r="X871" s="7"/>
      <c r="Y871" s="7"/>
      <c r="Z871" s="7"/>
    </row>
    <row r="872" spans="1:26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42"/>
      <c r="X872" s="7"/>
      <c r="Y872" s="7"/>
      <c r="Z872" s="7"/>
    </row>
    <row r="873" spans="1:26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42"/>
      <c r="X873" s="7"/>
      <c r="Y873" s="7"/>
      <c r="Z873" s="7"/>
    </row>
    <row r="874" spans="1:26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42"/>
      <c r="X874" s="7"/>
      <c r="Y874" s="7"/>
      <c r="Z874" s="7"/>
    </row>
    <row r="875" spans="1:26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42"/>
      <c r="X875" s="7"/>
      <c r="Y875" s="7"/>
      <c r="Z875" s="7"/>
    </row>
    <row r="876" spans="1:26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42"/>
      <c r="X876" s="7"/>
      <c r="Y876" s="7"/>
      <c r="Z876" s="7"/>
    </row>
    <row r="877" spans="1:26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42"/>
      <c r="X877" s="7"/>
      <c r="Y877" s="7"/>
      <c r="Z877" s="7"/>
    </row>
    <row r="878" spans="1:26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42"/>
      <c r="X878" s="7"/>
      <c r="Y878" s="7"/>
      <c r="Z878" s="7"/>
    </row>
    <row r="879" spans="1:26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42"/>
      <c r="X879" s="7"/>
      <c r="Y879" s="7"/>
      <c r="Z879" s="7"/>
    </row>
    <row r="880" spans="1:26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42"/>
      <c r="X880" s="7"/>
      <c r="Y880" s="7"/>
      <c r="Z880" s="7"/>
    </row>
    <row r="881" spans="1:26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42"/>
      <c r="X881" s="7"/>
      <c r="Y881" s="7"/>
      <c r="Z881" s="7"/>
    </row>
    <row r="882" spans="1:26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42"/>
      <c r="X882" s="7"/>
      <c r="Y882" s="7"/>
      <c r="Z882" s="7"/>
    </row>
    <row r="883" spans="1:26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42"/>
      <c r="X883" s="7"/>
      <c r="Y883" s="7"/>
      <c r="Z883" s="7"/>
    </row>
    <row r="884" spans="1:26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42"/>
      <c r="X884" s="7"/>
      <c r="Y884" s="7"/>
      <c r="Z884" s="7"/>
    </row>
    <row r="885" spans="1:26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42"/>
      <c r="X885" s="7"/>
      <c r="Y885" s="7"/>
      <c r="Z885" s="7"/>
    </row>
    <row r="886" spans="1:26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42"/>
      <c r="X886" s="7"/>
      <c r="Y886" s="7"/>
      <c r="Z886" s="7"/>
    </row>
    <row r="887" spans="1:26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42"/>
      <c r="X887" s="7"/>
      <c r="Y887" s="7"/>
      <c r="Z887" s="7"/>
    </row>
    <row r="888" spans="1:26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42"/>
      <c r="X888" s="7"/>
      <c r="Y888" s="7"/>
      <c r="Z888" s="7"/>
    </row>
    <row r="889" spans="1:26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42"/>
      <c r="X889" s="7"/>
      <c r="Y889" s="7"/>
      <c r="Z889" s="7"/>
    </row>
    <row r="890" spans="1:26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42"/>
      <c r="X890" s="7"/>
      <c r="Y890" s="7"/>
      <c r="Z890" s="7"/>
    </row>
    <row r="891" spans="1:26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42"/>
      <c r="X891" s="7"/>
      <c r="Y891" s="7"/>
      <c r="Z891" s="7"/>
    </row>
    <row r="892" spans="1:26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42"/>
      <c r="X892" s="7"/>
      <c r="Y892" s="7"/>
      <c r="Z892" s="7"/>
    </row>
    <row r="893" spans="1:26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42"/>
      <c r="X893" s="7"/>
      <c r="Y893" s="7"/>
      <c r="Z893" s="7"/>
    </row>
    <row r="894" spans="1:26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42"/>
      <c r="X894" s="7"/>
      <c r="Y894" s="7"/>
      <c r="Z894" s="7"/>
    </row>
    <row r="895" spans="1:26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42"/>
      <c r="X895" s="7"/>
      <c r="Y895" s="7"/>
      <c r="Z895" s="7"/>
    </row>
    <row r="896" spans="1:26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42"/>
      <c r="X896" s="7"/>
      <c r="Y896" s="7"/>
      <c r="Z896" s="7"/>
    </row>
    <row r="897" spans="1:26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42"/>
      <c r="X897" s="7"/>
      <c r="Y897" s="7"/>
      <c r="Z897" s="7"/>
    </row>
    <row r="898" spans="1:26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42"/>
      <c r="X898" s="7"/>
      <c r="Y898" s="7"/>
      <c r="Z898" s="7"/>
    </row>
    <row r="899" spans="1:26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42"/>
      <c r="X899" s="7"/>
      <c r="Y899" s="7"/>
      <c r="Z899" s="7"/>
    </row>
    <row r="900" spans="1:26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42"/>
      <c r="X900" s="7"/>
      <c r="Y900" s="7"/>
      <c r="Z900" s="7"/>
    </row>
    <row r="901" spans="1:26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42"/>
      <c r="X901" s="7"/>
      <c r="Y901" s="7"/>
      <c r="Z901" s="7"/>
    </row>
    <row r="902" spans="1:26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42"/>
      <c r="X902" s="7"/>
      <c r="Y902" s="7"/>
      <c r="Z902" s="7"/>
    </row>
    <row r="903" spans="1:26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42"/>
      <c r="X903" s="7"/>
      <c r="Y903" s="7"/>
      <c r="Z903" s="7"/>
    </row>
    <row r="904" spans="1:26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42"/>
      <c r="X904" s="7"/>
      <c r="Y904" s="7"/>
      <c r="Z904" s="7"/>
    </row>
    <row r="905" spans="1:26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42"/>
      <c r="X905" s="7"/>
      <c r="Y905" s="7"/>
      <c r="Z905" s="7"/>
    </row>
    <row r="906" spans="1:26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42"/>
      <c r="X906" s="7"/>
      <c r="Y906" s="7"/>
      <c r="Z906" s="7"/>
    </row>
    <row r="907" spans="1:26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42"/>
      <c r="X907" s="7"/>
      <c r="Y907" s="7"/>
      <c r="Z907" s="7"/>
    </row>
    <row r="908" spans="1:26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42"/>
      <c r="X908" s="7"/>
      <c r="Y908" s="7"/>
      <c r="Z908" s="7"/>
    </row>
    <row r="909" spans="1:26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42"/>
      <c r="X909" s="7"/>
      <c r="Y909" s="7"/>
      <c r="Z909" s="7"/>
    </row>
    <row r="910" spans="1:26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42"/>
      <c r="X910" s="7"/>
      <c r="Y910" s="7"/>
      <c r="Z910" s="7"/>
    </row>
    <row r="911" spans="1:26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42"/>
      <c r="X911" s="7"/>
      <c r="Y911" s="7"/>
      <c r="Z911" s="7"/>
    </row>
    <row r="912" spans="1:26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42"/>
      <c r="X912" s="7"/>
      <c r="Y912" s="7"/>
      <c r="Z912" s="7"/>
    </row>
    <row r="913" spans="1:26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42"/>
      <c r="X913" s="7"/>
      <c r="Y913" s="7"/>
      <c r="Z913" s="7"/>
    </row>
    <row r="914" spans="1:26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42"/>
      <c r="X914" s="7"/>
      <c r="Y914" s="7"/>
      <c r="Z914" s="7"/>
    </row>
    <row r="915" spans="1:26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42"/>
      <c r="X915" s="7"/>
      <c r="Y915" s="7"/>
      <c r="Z915" s="7"/>
    </row>
    <row r="916" spans="1:26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42"/>
      <c r="X916" s="7"/>
      <c r="Y916" s="7"/>
      <c r="Z916" s="7"/>
    </row>
    <row r="917" spans="1:26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42"/>
      <c r="X917" s="7"/>
      <c r="Y917" s="7"/>
      <c r="Z917" s="7"/>
    </row>
    <row r="918" spans="1:26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42"/>
      <c r="X918" s="7"/>
      <c r="Y918" s="7"/>
      <c r="Z918" s="7"/>
    </row>
    <row r="919" spans="1:26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42"/>
      <c r="X919" s="7"/>
      <c r="Y919" s="7"/>
      <c r="Z919" s="7"/>
    </row>
    <row r="920" spans="1:26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42"/>
      <c r="X920" s="7"/>
      <c r="Y920" s="7"/>
      <c r="Z920" s="7"/>
    </row>
    <row r="921" spans="1:26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42"/>
      <c r="X921" s="7"/>
      <c r="Y921" s="7"/>
      <c r="Z921" s="7"/>
    </row>
    <row r="922" spans="1:26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42"/>
      <c r="X922" s="7"/>
      <c r="Y922" s="7"/>
      <c r="Z922" s="7"/>
    </row>
    <row r="923" spans="1:26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42"/>
      <c r="X923" s="7"/>
      <c r="Y923" s="7"/>
      <c r="Z923" s="7"/>
    </row>
    <row r="924" spans="1:26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42"/>
      <c r="X924" s="7"/>
      <c r="Y924" s="7"/>
      <c r="Z924" s="7"/>
    </row>
    <row r="925" spans="1:26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42"/>
      <c r="X925" s="7"/>
      <c r="Y925" s="7"/>
      <c r="Z925" s="7"/>
    </row>
    <row r="926" spans="1:26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42"/>
      <c r="X926" s="7"/>
      <c r="Y926" s="7"/>
      <c r="Z926" s="7"/>
    </row>
    <row r="927" spans="1:26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42"/>
      <c r="X927" s="7"/>
      <c r="Y927" s="7"/>
      <c r="Z927" s="7"/>
    </row>
    <row r="928" spans="1:26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42"/>
      <c r="X928" s="7"/>
      <c r="Y928" s="7"/>
      <c r="Z928" s="7"/>
    </row>
    <row r="929" spans="1:26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42"/>
      <c r="X929" s="7"/>
      <c r="Y929" s="7"/>
      <c r="Z929" s="7"/>
    </row>
    <row r="930" spans="1:26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42"/>
      <c r="X930" s="7"/>
      <c r="Y930" s="7"/>
      <c r="Z930" s="7"/>
    </row>
    <row r="931" spans="1:26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42"/>
      <c r="X931" s="7"/>
      <c r="Y931" s="7"/>
      <c r="Z931" s="7"/>
    </row>
    <row r="932" spans="1:26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42"/>
      <c r="X932" s="7"/>
      <c r="Y932" s="7"/>
      <c r="Z932" s="7"/>
    </row>
    <row r="933" spans="1:26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42"/>
      <c r="X933" s="7"/>
      <c r="Y933" s="7"/>
      <c r="Z933" s="7"/>
    </row>
    <row r="934" spans="1:26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42"/>
      <c r="X934" s="7"/>
      <c r="Y934" s="7"/>
      <c r="Z934" s="7"/>
    </row>
    <row r="935" spans="1:26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42"/>
      <c r="X935" s="7"/>
      <c r="Y935" s="7"/>
      <c r="Z935" s="7"/>
    </row>
    <row r="936" spans="1:26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42"/>
      <c r="X936" s="7"/>
      <c r="Y936" s="7"/>
      <c r="Z936" s="7"/>
    </row>
    <row r="937" spans="1:26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42"/>
      <c r="X937" s="7"/>
      <c r="Y937" s="7"/>
      <c r="Z937" s="7"/>
    </row>
    <row r="938" spans="1:26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42"/>
      <c r="X938" s="7"/>
      <c r="Y938" s="7"/>
      <c r="Z938" s="7"/>
    </row>
    <row r="939" spans="1:26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42"/>
      <c r="X939" s="7"/>
      <c r="Y939" s="7"/>
      <c r="Z939" s="7"/>
    </row>
    <row r="940" spans="1:26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42"/>
      <c r="X940" s="7"/>
      <c r="Y940" s="7"/>
      <c r="Z940" s="7"/>
    </row>
    <row r="941" spans="1:26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42"/>
      <c r="X941" s="7"/>
      <c r="Y941" s="7"/>
      <c r="Z941" s="7"/>
    </row>
    <row r="942" spans="1:26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42"/>
      <c r="X942" s="7"/>
      <c r="Y942" s="7"/>
      <c r="Z942" s="7"/>
    </row>
    <row r="943" spans="1:26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42"/>
      <c r="X943" s="7"/>
      <c r="Y943" s="7"/>
      <c r="Z943" s="7"/>
    </row>
    <row r="944" spans="1:26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42"/>
      <c r="X944" s="7"/>
      <c r="Y944" s="7"/>
      <c r="Z944" s="7"/>
    </row>
    <row r="945" spans="1:26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42"/>
      <c r="X945" s="7"/>
      <c r="Y945" s="7"/>
      <c r="Z945" s="7"/>
    </row>
    <row r="946" spans="1:26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42"/>
      <c r="X946" s="7"/>
      <c r="Y946" s="7"/>
      <c r="Z946" s="7"/>
    </row>
    <row r="947" spans="1:26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42"/>
      <c r="X947" s="7"/>
      <c r="Y947" s="7"/>
      <c r="Z947" s="7"/>
    </row>
    <row r="948" spans="1:26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42"/>
      <c r="X948" s="7"/>
      <c r="Y948" s="7"/>
      <c r="Z948" s="7"/>
    </row>
    <row r="949" spans="1:26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42"/>
      <c r="X949" s="7"/>
      <c r="Y949" s="7"/>
      <c r="Z949" s="7"/>
    </row>
    <row r="950" spans="1:26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42"/>
      <c r="X950" s="7"/>
      <c r="Y950" s="7"/>
      <c r="Z950" s="7"/>
    </row>
    <row r="951" spans="1:26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42"/>
      <c r="X951" s="7"/>
      <c r="Y951" s="7"/>
      <c r="Z951" s="7"/>
    </row>
    <row r="952" spans="1:26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42"/>
      <c r="X952" s="7"/>
      <c r="Y952" s="7"/>
      <c r="Z952" s="7"/>
    </row>
    <row r="953" spans="1:26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42"/>
      <c r="X953" s="7"/>
      <c r="Y953" s="7"/>
      <c r="Z953" s="7"/>
    </row>
    <row r="954" spans="1:26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42"/>
      <c r="X954" s="7"/>
      <c r="Y954" s="7"/>
      <c r="Z954" s="7"/>
    </row>
    <row r="955" spans="1:26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42"/>
      <c r="X955" s="7"/>
      <c r="Y955" s="7"/>
      <c r="Z955" s="7"/>
    </row>
    <row r="956" spans="1:26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42"/>
      <c r="X956" s="7"/>
      <c r="Y956" s="7"/>
      <c r="Z956" s="7"/>
    </row>
    <row r="957" spans="1:26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42"/>
      <c r="X957" s="7"/>
      <c r="Y957" s="7"/>
      <c r="Z957" s="7"/>
    </row>
    <row r="958" spans="1:26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42"/>
      <c r="X958" s="7"/>
      <c r="Y958" s="7"/>
      <c r="Z958" s="7"/>
    </row>
    <row r="959" spans="1:26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42"/>
      <c r="X959" s="7"/>
      <c r="Y959" s="7"/>
      <c r="Z959" s="7"/>
    </row>
    <row r="960" spans="1:26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42"/>
      <c r="X960" s="7"/>
      <c r="Y960" s="7"/>
      <c r="Z960" s="7"/>
    </row>
    <row r="961" spans="1:26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42"/>
      <c r="X961" s="7"/>
      <c r="Y961" s="7"/>
      <c r="Z961" s="7"/>
    </row>
    <row r="962" spans="1:26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42"/>
      <c r="X962" s="7"/>
      <c r="Y962" s="7"/>
      <c r="Z962" s="7"/>
    </row>
    <row r="963" spans="1:26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42"/>
      <c r="X963" s="7"/>
      <c r="Y963" s="7"/>
      <c r="Z963" s="7"/>
    </row>
    <row r="964" spans="1:26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42"/>
      <c r="X964" s="7"/>
      <c r="Y964" s="7"/>
      <c r="Z964" s="7"/>
    </row>
    <row r="965" spans="1:26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42"/>
      <c r="X965" s="7"/>
      <c r="Y965" s="7"/>
      <c r="Z965" s="7"/>
    </row>
    <row r="966" spans="1:26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42"/>
      <c r="X966" s="7"/>
      <c r="Y966" s="7"/>
      <c r="Z966" s="7"/>
    </row>
    <row r="967" spans="1:26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42"/>
      <c r="X967" s="7"/>
      <c r="Y967" s="7"/>
      <c r="Z967" s="7"/>
    </row>
    <row r="968" spans="1:26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42"/>
      <c r="X968" s="7"/>
      <c r="Y968" s="7"/>
      <c r="Z968" s="7"/>
    </row>
    <row r="969" spans="1:26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42"/>
      <c r="X969" s="7"/>
      <c r="Y969" s="7"/>
      <c r="Z969" s="7"/>
    </row>
    <row r="970" spans="1:26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42"/>
      <c r="X970" s="7"/>
      <c r="Y970" s="7"/>
      <c r="Z970" s="7"/>
    </row>
    <row r="971" spans="1:26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42"/>
      <c r="X971" s="7"/>
      <c r="Y971" s="7"/>
      <c r="Z971" s="7"/>
    </row>
    <row r="972" spans="1:26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42"/>
      <c r="X972" s="7"/>
      <c r="Y972" s="7"/>
      <c r="Z972" s="7"/>
    </row>
    <row r="973" spans="1:26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42"/>
      <c r="X973" s="7"/>
      <c r="Y973" s="7"/>
      <c r="Z973" s="7"/>
    </row>
    <row r="974" spans="1:26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42"/>
      <c r="X974" s="7"/>
      <c r="Y974" s="7"/>
      <c r="Z974" s="7"/>
    </row>
    <row r="975" spans="1:26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42"/>
      <c r="X975" s="7"/>
      <c r="Y975" s="7"/>
      <c r="Z975" s="7"/>
    </row>
    <row r="976" spans="1:26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42"/>
      <c r="X976" s="7"/>
      <c r="Y976" s="7"/>
      <c r="Z976" s="7"/>
    </row>
    <row r="977" spans="1:26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42"/>
      <c r="X977" s="7"/>
      <c r="Y977" s="7"/>
      <c r="Z977" s="7"/>
    </row>
    <row r="978" spans="1:26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42"/>
      <c r="X978" s="7"/>
      <c r="Y978" s="7"/>
      <c r="Z978" s="7"/>
    </row>
    <row r="979" spans="1:26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42"/>
      <c r="X979" s="7"/>
      <c r="Y979" s="7"/>
      <c r="Z979" s="7"/>
    </row>
    <row r="980" spans="1:26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42"/>
      <c r="X980" s="7"/>
      <c r="Y980" s="7"/>
      <c r="Z980" s="7"/>
    </row>
    <row r="981" spans="1:26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42"/>
      <c r="X981" s="7"/>
      <c r="Y981" s="7"/>
      <c r="Z981" s="7"/>
    </row>
    <row r="982" spans="1:26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42"/>
      <c r="X982" s="7"/>
      <c r="Y982" s="7"/>
      <c r="Z982" s="7"/>
    </row>
    <row r="983" spans="1:26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42"/>
      <c r="X983" s="7"/>
      <c r="Y983" s="7"/>
      <c r="Z983" s="7"/>
    </row>
    <row r="984" spans="1:26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42"/>
      <c r="X984" s="7"/>
      <c r="Y984" s="7"/>
      <c r="Z984" s="7"/>
    </row>
    <row r="985" spans="1:26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42"/>
      <c r="X985" s="7"/>
      <c r="Y985" s="7"/>
      <c r="Z985" s="7"/>
    </row>
    <row r="986" spans="1:26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42"/>
      <c r="X986" s="7"/>
      <c r="Y986" s="7"/>
      <c r="Z986" s="7"/>
    </row>
    <row r="987" spans="1:26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42"/>
      <c r="X987" s="7"/>
      <c r="Y987" s="7"/>
      <c r="Z987" s="7"/>
    </row>
    <row r="988" spans="1:26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42"/>
      <c r="X988" s="7"/>
      <c r="Y988" s="7"/>
      <c r="Z988" s="7"/>
    </row>
    <row r="989" spans="1:26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42"/>
      <c r="X989" s="7"/>
      <c r="Y989" s="7"/>
      <c r="Z989" s="7"/>
    </row>
    <row r="990" spans="1:26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42"/>
      <c r="X990" s="7"/>
      <c r="Y990" s="7"/>
      <c r="Z990" s="7"/>
    </row>
    <row r="991" spans="1:26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42"/>
      <c r="X991" s="7"/>
      <c r="Y991" s="7"/>
      <c r="Z991" s="7"/>
    </row>
    <row r="992" spans="1:26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42"/>
      <c r="X992" s="7"/>
      <c r="Y992" s="7"/>
      <c r="Z992" s="7"/>
    </row>
    <row r="993" spans="1:26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42"/>
      <c r="X993" s="7"/>
      <c r="Y993" s="7"/>
      <c r="Z993" s="7"/>
    </row>
    <row r="994" spans="1:26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42"/>
      <c r="X994" s="7"/>
      <c r="Y994" s="7"/>
      <c r="Z994" s="7"/>
    </row>
    <row r="995" spans="1:26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42"/>
      <c r="X995" s="7"/>
      <c r="Y995" s="7"/>
      <c r="Z995" s="7"/>
    </row>
    <row r="996" spans="1:26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42"/>
      <c r="X996" s="7"/>
      <c r="Y996" s="7"/>
      <c r="Z996" s="7"/>
    </row>
    <row r="997" spans="1:26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42"/>
      <c r="X997" s="7"/>
      <c r="Y997" s="7"/>
      <c r="Z997" s="7"/>
    </row>
    <row r="998" spans="1:26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42"/>
      <c r="X998" s="7"/>
      <c r="Y998" s="7"/>
      <c r="Z998" s="7"/>
    </row>
    <row r="999" spans="1:26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42"/>
      <c r="X999" s="7"/>
      <c r="Y999" s="7"/>
      <c r="Z999" s="7"/>
    </row>
    <row r="1000" spans="1:26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42"/>
      <c r="X1000" s="7"/>
      <c r="Y1000" s="7"/>
      <c r="Z1000" s="7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F1" workbookViewId="0"/>
  </sheetViews>
  <sheetFormatPr baseColWidth="10" defaultColWidth="14.5" defaultRowHeight="15" customHeight="1" x14ac:dyDescent="0.2"/>
  <cols>
    <col min="1" max="3" width="10.83203125" customWidth="1"/>
    <col min="4" max="4" width="12.5" customWidth="1"/>
    <col min="5" max="5" width="14.6640625" customWidth="1"/>
    <col min="6" max="6" width="14.1640625" customWidth="1"/>
    <col min="7" max="7" width="16" customWidth="1"/>
    <col min="8" max="8" width="17.6640625" customWidth="1"/>
    <col min="9" max="10" width="13" customWidth="1"/>
    <col min="11" max="11" width="12.6640625" customWidth="1"/>
    <col min="12" max="12" width="10.83203125" customWidth="1"/>
    <col min="13" max="13" width="9.33203125" customWidth="1"/>
    <col min="14" max="14" width="10.83203125" customWidth="1"/>
    <col min="15" max="16" width="12.1640625" customWidth="1"/>
    <col min="17" max="17" width="10.83203125" customWidth="1"/>
    <col min="18" max="18" width="14.83203125" customWidth="1"/>
    <col min="19" max="20" width="10.83203125" customWidth="1"/>
    <col min="21" max="21" width="18" hidden="1" customWidth="1"/>
    <col min="22" max="22" width="18.1640625" hidden="1" customWidth="1"/>
    <col min="23" max="23" width="24.6640625" hidden="1" customWidth="1"/>
    <col min="24" max="24" width="12.1640625" customWidth="1"/>
    <col min="25" max="26" width="10.6640625" customWidth="1"/>
  </cols>
  <sheetData>
    <row r="1" spans="1:26" ht="80" x14ac:dyDescent="0.2">
      <c r="A1" s="34" t="s">
        <v>30</v>
      </c>
      <c r="B1" s="34" t="s">
        <v>31</v>
      </c>
      <c r="C1" s="34" t="s">
        <v>11</v>
      </c>
      <c r="D1" s="34" t="s">
        <v>32</v>
      </c>
      <c r="E1" s="34" t="s">
        <v>33</v>
      </c>
      <c r="F1" s="34" t="s">
        <v>34</v>
      </c>
      <c r="G1" s="34" t="s">
        <v>29</v>
      </c>
      <c r="H1" s="34" t="s">
        <v>14</v>
      </c>
      <c r="I1" s="34" t="s">
        <v>49</v>
      </c>
      <c r="J1" s="34" t="s">
        <v>50</v>
      </c>
      <c r="K1" s="34" t="s">
        <v>37</v>
      </c>
      <c r="L1" s="34" t="s">
        <v>38</v>
      </c>
      <c r="M1" s="34" t="s">
        <v>39</v>
      </c>
      <c r="N1" s="34" t="s">
        <v>40</v>
      </c>
      <c r="O1" s="34" t="s">
        <v>41</v>
      </c>
      <c r="P1" s="34" t="s">
        <v>42</v>
      </c>
      <c r="Q1" s="34" t="s">
        <v>43</v>
      </c>
      <c r="R1" s="34" t="s">
        <v>44</v>
      </c>
      <c r="S1" s="35"/>
      <c r="T1" s="35"/>
      <c r="U1" s="34" t="s">
        <v>45</v>
      </c>
      <c r="V1" s="34" t="s">
        <v>46</v>
      </c>
      <c r="W1" s="36" t="s">
        <v>47</v>
      </c>
      <c r="X1" s="35"/>
      <c r="Y1" s="35"/>
      <c r="Z1" s="35"/>
    </row>
    <row r="2" spans="1:26" ht="16" x14ac:dyDescent="0.2">
      <c r="A2" s="17">
        <v>41855</v>
      </c>
      <c r="B2" s="18">
        <v>1</v>
      </c>
      <c r="C2" s="18" t="s">
        <v>17</v>
      </c>
      <c r="D2" s="19">
        <v>4338</v>
      </c>
      <c r="E2" s="44">
        <f t="shared" ref="E2:E105" si="0">D2*1.1</f>
        <v>4771.8</v>
      </c>
      <c r="F2" s="7">
        <f t="shared" ref="F2:F105" si="1">2</f>
        <v>2</v>
      </c>
      <c r="G2" s="44">
        <f t="shared" ref="G2:G105" si="2">E2*F2</f>
        <v>9543.6</v>
      </c>
      <c r="H2" s="44" t="str">
        <f t="shared" ref="H2:H105" si="3">TEXT(A2,"yyyy-mm-dd")&amp;"-"&amp;B2&amp;"-"&amp;"B"</f>
        <v>2014-08-04-1-B</v>
      </c>
      <c r="I2" s="20">
        <f>VLOOKUP(H2,'Historical Shipments'!$D$2:$E$10000,2,FALSE)</f>
        <v>15687.000000000002</v>
      </c>
      <c r="J2" s="20">
        <f t="shared" ref="J2:J105" si="4">I2*1.1</f>
        <v>17255.700000000004</v>
      </c>
      <c r="K2" s="44">
        <f t="shared" ref="K2:K105" si="5">J2+G2</f>
        <v>26799.300000000003</v>
      </c>
      <c r="L2" s="40">
        <f t="array" ref="L2">INDEX('Carrier Rates'!$D$2:$D$1000, MATCH("X"&amp;"-"&amp;"B"&amp;"-"&amp;B2, 'Carrier Rates'!$E$2:$E$1000, 0))</f>
        <v>1200</v>
      </c>
      <c r="M2" s="45">
        <f t="array" ref="M2">INDEX('Carrier Rates'!$D$2:$D$1000, MATCH("Y"&amp;"-"&amp;"B"&amp;"-"&amp;B2, 'Carrier Rates'!$E$2:$E$1000, 0))</f>
        <v>7.0000000000000007E-2</v>
      </c>
      <c r="N2" s="40">
        <f t="shared" ref="N2:N105" si="6">L2</f>
        <v>1200</v>
      </c>
      <c r="O2" s="44">
        <f t="shared" ref="O2:O105" si="7">M2*K2</f>
        <v>1875.9510000000005</v>
      </c>
      <c r="P2" s="44">
        <f t="shared" ref="P2:P105" si="8">MIN(N2,O2)</f>
        <v>1200</v>
      </c>
      <c r="Q2" s="7">
        <f t="shared" ref="Q2:Q105" si="9">0.82</f>
        <v>0.82</v>
      </c>
      <c r="R2" s="44">
        <f t="shared" ref="R2:R105" si="10">E2*Q2</f>
        <v>3912.8759999999997</v>
      </c>
      <c r="S2" s="7"/>
      <c r="T2" s="7"/>
      <c r="U2" s="40">
        <f t="shared" ref="U2:U105" si="11">IF(J2 &lt; 44000, L2, "")</f>
        <v>1200</v>
      </c>
      <c r="V2" s="41">
        <f t="shared" ref="V2:V105" si="12">J2 * M2</f>
        <v>1207.8990000000003</v>
      </c>
      <c r="W2" s="42">
        <f t="shared" ref="W2:W105" si="13">MIN(U2,V2)</f>
        <v>1200</v>
      </c>
      <c r="X2" s="7"/>
      <c r="Y2" s="7"/>
      <c r="Z2" s="7"/>
    </row>
    <row r="3" spans="1:26" ht="16" x14ac:dyDescent="0.2">
      <c r="A3" s="17">
        <v>41855</v>
      </c>
      <c r="B3" s="18">
        <v>2</v>
      </c>
      <c r="C3" s="18" t="s">
        <v>17</v>
      </c>
      <c r="D3" s="19">
        <v>3600</v>
      </c>
      <c r="E3" s="44">
        <f t="shared" si="0"/>
        <v>3960.0000000000005</v>
      </c>
      <c r="F3" s="7">
        <f t="shared" si="1"/>
        <v>2</v>
      </c>
      <c r="G3" s="44">
        <f t="shared" si="2"/>
        <v>7920.0000000000009</v>
      </c>
      <c r="H3" s="44" t="str">
        <f t="shared" si="3"/>
        <v>2014-08-04-2-B</v>
      </c>
      <c r="I3" s="20">
        <f>VLOOKUP(H3,'Historical Shipments'!$D$2:$E$10000,2,FALSE)</f>
        <v>21048.800000000003</v>
      </c>
      <c r="J3" s="20">
        <f t="shared" si="4"/>
        <v>23153.680000000004</v>
      </c>
      <c r="K3" s="44">
        <f t="shared" si="5"/>
        <v>31073.680000000004</v>
      </c>
      <c r="L3" s="40">
        <f t="array" ref="L3">INDEX('Carrier Rates'!$D$2:$D$1000, MATCH("X"&amp;"-"&amp;"B"&amp;"-"&amp;B3, 'Carrier Rates'!$E$2:$E$1000, 0))</f>
        <v>1200</v>
      </c>
      <c r="M3" s="45">
        <f t="array" ref="M3">INDEX('Carrier Rates'!$D$2:$D$1000, MATCH("Y"&amp;"-"&amp;"B"&amp;"-"&amp;B3, 'Carrier Rates'!$E$2:$E$1000, 0))</f>
        <v>0.06</v>
      </c>
      <c r="N3" s="40">
        <f t="shared" si="6"/>
        <v>1200</v>
      </c>
      <c r="O3" s="44">
        <f t="shared" si="7"/>
        <v>1864.4208000000001</v>
      </c>
      <c r="P3" s="44">
        <f t="shared" si="8"/>
        <v>1200</v>
      </c>
      <c r="Q3" s="7">
        <f t="shared" si="9"/>
        <v>0.82</v>
      </c>
      <c r="R3" s="44">
        <f t="shared" si="10"/>
        <v>3247.2000000000003</v>
      </c>
      <c r="S3" s="7"/>
      <c r="T3" s="7"/>
      <c r="U3" s="40">
        <f t="shared" si="11"/>
        <v>1200</v>
      </c>
      <c r="V3" s="43">
        <f t="shared" si="12"/>
        <v>1389.2208000000003</v>
      </c>
      <c r="W3" s="42">
        <f t="shared" si="13"/>
        <v>1200</v>
      </c>
      <c r="X3" s="7"/>
      <c r="Y3" s="7"/>
      <c r="Z3" s="7"/>
    </row>
    <row r="4" spans="1:26" ht="16" x14ac:dyDescent="0.2">
      <c r="A4" s="17">
        <v>41862</v>
      </c>
      <c r="B4" s="18">
        <v>1</v>
      </c>
      <c r="C4" s="18" t="s">
        <v>17</v>
      </c>
      <c r="D4" s="19">
        <v>4598</v>
      </c>
      <c r="E4" s="44">
        <f t="shared" si="0"/>
        <v>5057.8</v>
      </c>
      <c r="F4" s="7">
        <f t="shared" si="1"/>
        <v>2</v>
      </c>
      <c r="G4" s="44">
        <f t="shared" si="2"/>
        <v>10115.6</v>
      </c>
      <c r="H4" s="44" t="str">
        <f t="shared" si="3"/>
        <v>2014-08-11-1-B</v>
      </c>
      <c r="I4" s="20">
        <f>VLOOKUP(H4,'Historical Shipments'!$D$2:$E$10000,2,FALSE)</f>
        <v>14425.400000000001</v>
      </c>
      <c r="J4" s="20">
        <f t="shared" si="4"/>
        <v>15867.940000000002</v>
      </c>
      <c r="K4" s="44">
        <f t="shared" si="5"/>
        <v>25983.54</v>
      </c>
      <c r="L4" s="40">
        <f t="array" ref="L4">INDEX('Carrier Rates'!$D$2:$D$1000, MATCH("X"&amp;"-"&amp;"B"&amp;"-"&amp;B4, 'Carrier Rates'!$E$2:$E$1000, 0))</f>
        <v>1200</v>
      </c>
      <c r="M4" s="45">
        <f t="array" ref="M4">INDEX('Carrier Rates'!$D$2:$D$1000, MATCH("Y"&amp;"-"&amp;"B"&amp;"-"&amp;B4, 'Carrier Rates'!$E$2:$E$1000, 0))</f>
        <v>7.0000000000000007E-2</v>
      </c>
      <c r="N4" s="40">
        <f t="shared" si="6"/>
        <v>1200</v>
      </c>
      <c r="O4" s="44">
        <f t="shared" si="7"/>
        <v>1818.8478000000002</v>
      </c>
      <c r="P4" s="44">
        <f t="shared" si="8"/>
        <v>1200</v>
      </c>
      <c r="Q4" s="7">
        <f t="shared" si="9"/>
        <v>0.82</v>
      </c>
      <c r="R4" s="44">
        <f t="shared" si="10"/>
        <v>4147.3959999999997</v>
      </c>
      <c r="S4" s="7"/>
      <c r="T4" s="7"/>
      <c r="U4" s="40">
        <f t="shared" si="11"/>
        <v>1200</v>
      </c>
      <c r="V4" s="43">
        <f t="shared" si="12"/>
        <v>1110.7558000000004</v>
      </c>
      <c r="W4" s="42">
        <f t="shared" si="13"/>
        <v>1110.7558000000004</v>
      </c>
      <c r="X4" s="7"/>
      <c r="Y4" s="7"/>
      <c r="Z4" s="7"/>
    </row>
    <row r="5" spans="1:26" ht="16" x14ac:dyDescent="0.2">
      <c r="A5" s="17">
        <v>41862</v>
      </c>
      <c r="B5" s="18">
        <v>2</v>
      </c>
      <c r="C5" s="18" t="s">
        <v>17</v>
      </c>
      <c r="D5" s="19">
        <v>3234</v>
      </c>
      <c r="E5" s="44">
        <f t="shared" si="0"/>
        <v>3557.4</v>
      </c>
      <c r="F5" s="7">
        <f t="shared" si="1"/>
        <v>2</v>
      </c>
      <c r="G5" s="44">
        <f t="shared" si="2"/>
        <v>7114.8</v>
      </c>
      <c r="H5" s="44" t="str">
        <f t="shared" si="3"/>
        <v>2014-08-11-2-B</v>
      </c>
      <c r="I5" s="20">
        <f>VLOOKUP(H5,'Historical Shipments'!$D$2:$E$10000,2,FALSE)</f>
        <v>16732.800000000003</v>
      </c>
      <c r="J5" s="20">
        <f t="shared" si="4"/>
        <v>18406.080000000005</v>
      </c>
      <c r="K5" s="44">
        <f t="shared" si="5"/>
        <v>25520.880000000005</v>
      </c>
      <c r="L5" s="40">
        <f t="array" ref="L5">INDEX('Carrier Rates'!$D$2:$D$1000, MATCH("X"&amp;"-"&amp;"B"&amp;"-"&amp;B5, 'Carrier Rates'!$E$2:$E$1000, 0))</f>
        <v>1200</v>
      </c>
      <c r="M5" s="45">
        <f t="array" ref="M5">INDEX('Carrier Rates'!$D$2:$D$1000, MATCH("Y"&amp;"-"&amp;"B"&amp;"-"&amp;B5, 'Carrier Rates'!$E$2:$E$1000, 0))</f>
        <v>0.06</v>
      </c>
      <c r="N5" s="40">
        <f t="shared" si="6"/>
        <v>1200</v>
      </c>
      <c r="O5" s="44">
        <f t="shared" si="7"/>
        <v>1531.2528000000002</v>
      </c>
      <c r="P5" s="44">
        <f t="shared" si="8"/>
        <v>1200</v>
      </c>
      <c r="Q5" s="7">
        <f t="shared" si="9"/>
        <v>0.82</v>
      </c>
      <c r="R5" s="44">
        <f t="shared" si="10"/>
        <v>2917.0679999999998</v>
      </c>
      <c r="S5" s="7"/>
      <c r="T5" s="7"/>
      <c r="U5" s="40">
        <f t="shared" si="11"/>
        <v>1200</v>
      </c>
      <c r="V5" s="43">
        <f t="shared" si="12"/>
        <v>1104.3648000000003</v>
      </c>
      <c r="W5" s="42">
        <f t="shared" si="13"/>
        <v>1104.3648000000003</v>
      </c>
      <c r="X5" s="7"/>
      <c r="Y5" s="7"/>
      <c r="Z5" s="7"/>
    </row>
    <row r="6" spans="1:26" ht="16" x14ac:dyDescent="0.2">
      <c r="A6" s="17">
        <v>41869</v>
      </c>
      <c r="B6" s="18">
        <v>1</v>
      </c>
      <c r="C6" s="18" t="s">
        <v>17</v>
      </c>
      <c r="D6" s="19">
        <v>4268</v>
      </c>
      <c r="E6" s="44">
        <f t="shared" si="0"/>
        <v>4694.8</v>
      </c>
      <c r="F6" s="7">
        <f t="shared" si="1"/>
        <v>2</v>
      </c>
      <c r="G6" s="44">
        <f t="shared" si="2"/>
        <v>9389.6</v>
      </c>
      <c r="H6" s="44" t="str">
        <f t="shared" si="3"/>
        <v>2014-08-18-1-B</v>
      </c>
      <c r="I6" s="20">
        <f>VLOOKUP(H6,'Historical Shipments'!$D$2:$E$10000,2,FALSE)</f>
        <v>14790.6</v>
      </c>
      <c r="J6" s="20">
        <f t="shared" si="4"/>
        <v>16269.660000000002</v>
      </c>
      <c r="K6" s="44">
        <f t="shared" si="5"/>
        <v>25659.260000000002</v>
      </c>
      <c r="L6" s="40">
        <f t="array" ref="L6">INDEX('Carrier Rates'!$D$2:$D$1000, MATCH("X"&amp;"-"&amp;"B"&amp;"-"&amp;B6, 'Carrier Rates'!$E$2:$E$1000, 0))</f>
        <v>1200</v>
      </c>
      <c r="M6" s="45">
        <f t="array" ref="M6">INDEX('Carrier Rates'!$D$2:$D$1000, MATCH("Y"&amp;"-"&amp;"B"&amp;"-"&amp;B6, 'Carrier Rates'!$E$2:$E$1000, 0))</f>
        <v>7.0000000000000007E-2</v>
      </c>
      <c r="N6" s="40">
        <f t="shared" si="6"/>
        <v>1200</v>
      </c>
      <c r="O6" s="44">
        <f t="shared" si="7"/>
        <v>1796.1482000000003</v>
      </c>
      <c r="P6" s="44">
        <f t="shared" si="8"/>
        <v>1200</v>
      </c>
      <c r="Q6" s="7">
        <f t="shared" si="9"/>
        <v>0.82</v>
      </c>
      <c r="R6" s="44">
        <f t="shared" si="10"/>
        <v>3849.7359999999999</v>
      </c>
      <c r="S6" s="7"/>
      <c r="T6" s="7"/>
      <c r="U6" s="40">
        <f t="shared" si="11"/>
        <v>1200</v>
      </c>
      <c r="V6" s="43">
        <f t="shared" si="12"/>
        <v>1138.8762000000002</v>
      </c>
      <c r="W6" s="42">
        <f t="shared" si="13"/>
        <v>1138.8762000000002</v>
      </c>
      <c r="X6" s="7"/>
      <c r="Y6" s="7"/>
      <c r="Z6" s="7"/>
    </row>
    <row r="7" spans="1:26" ht="16" x14ac:dyDescent="0.2">
      <c r="A7" s="17">
        <v>41869</v>
      </c>
      <c r="B7" s="18">
        <v>2</v>
      </c>
      <c r="C7" s="18" t="s">
        <v>17</v>
      </c>
      <c r="D7" s="19">
        <v>2623</v>
      </c>
      <c r="E7" s="44">
        <f t="shared" si="0"/>
        <v>2885.3</v>
      </c>
      <c r="F7" s="7">
        <f t="shared" si="1"/>
        <v>2</v>
      </c>
      <c r="G7" s="44">
        <f t="shared" si="2"/>
        <v>5770.6</v>
      </c>
      <c r="H7" s="44" t="str">
        <f t="shared" si="3"/>
        <v>2014-08-18-2-B</v>
      </c>
      <c r="I7" s="20">
        <f>VLOOKUP(H7,'Historical Shipments'!$D$2:$E$10000,2,FALSE)</f>
        <v>19729.100000000002</v>
      </c>
      <c r="J7" s="20">
        <f t="shared" si="4"/>
        <v>21702.010000000006</v>
      </c>
      <c r="K7" s="44">
        <f t="shared" si="5"/>
        <v>27472.610000000008</v>
      </c>
      <c r="L7" s="40">
        <f t="array" ref="L7">INDEX('Carrier Rates'!$D$2:$D$1000, MATCH("X"&amp;"-"&amp;"B"&amp;"-"&amp;B7, 'Carrier Rates'!$E$2:$E$1000, 0))</f>
        <v>1200</v>
      </c>
      <c r="M7" s="45">
        <f t="array" ref="M7">INDEX('Carrier Rates'!$D$2:$D$1000, MATCH("Y"&amp;"-"&amp;"B"&amp;"-"&amp;B7, 'Carrier Rates'!$E$2:$E$1000, 0))</f>
        <v>0.06</v>
      </c>
      <c r="N7" s="40">
        <f t="shared" si="6"/>
        <v>1200</v>
      </c>
      <c r="O7" s="44">
        <f t="shared" si="7"/>
        <v>1648.3566000000003</v>
      </c>
      <c r="P7" s="44">
        <f t="shared" si="8"/>
        <v>1200</v>
      </c>
      <c r="Q7" s="7">
        <f t="shared" si="9"/>
        <v>0.82</v>
      </c>
      <c r="R7" s="44">
        <f t="shared" si="10"/>
        <v>2365.9459999999999</v>
      </c>
      <c r="S7" s="7"/>
      <c r="T7" s="7"/>
      <c r="U7" s="40">
        <f t="shared" si="11"/>
        <v>1200</v>
      </c>
      <c r="V7" s="43">
        <f t="shared" si="12"/>
        <v>1302.1206000000002</v>
      </c>
      <c r="W7" s="42">
        <f t="shared" si="13"/>
        <v>1200</v>
      </c>
      <c r="X7" s="7"/>
      <c r="Y7" s="7"/>
      <c r="Z7" s="7"/>
    </row>
    <row r="8" spans="1:26" ht="16" x14ac:dyDescent="0.2">
      <c r="A8" s="17">
        <v>41876</v>
      </c>
      <c r="B8" s="18">
        <v>1</v>
      </c>
      <c r="C8" s="18" t="s">
        <v>17</v>
      </c>
      <c r="D8" s="19">
        <v>3453</v>
      </c>
      <c r="E8" s="44">
        <f t="shared" si="0"/>
        <v>3798.3</v>
      </c>
      <c r="F8" s="7">
        <f t="shared" si="1"/>
        <v>2</v>
      </c>
      <c r="G8" s="44">
        <f t="shared" si="2"/>
        <v>7596.6</v>
      </c>
      <c r="H8" s="44" t="str">
        <f t="shared" si="3"/>
        <v>2014-08-25-1-B</v>
      </c>
      <c r="I8" s="20">
        <f>VLOOKUP(H8,'Historical Shipments'!$D$2:$E$10000,2,FALSE)</f>
        <v>20774.900000000001</v>
      </c>
      <c r="J8" s="20">
        <f t="shared" si="4"/>
        <v>22852.390000000003</v>
      </c>
      <c r="K8" s="44">
        <f t="shared" si="5"/>
        <v>30448.990000000005</v>
      </c>
      <c r="L8" s="40">
        <f t="array" ref="L8">INDEX('Carrier Rates'!$D$2:$D$1000, MATCH("X"&amp;"-"&amp;"B"&amp;"-"&amp;B8, 'Carrier Rates'!$E$2:$E$1000, 0))</f>
        <v>1200</v>
      </c>
      <c r="M8" s="45">
        <f t="array" ref="M8">INDEX('Carrier Rates'!$D$2:$D$1000, MATCH("Y"&amp;"-"&amp;"B"&amp;"-"&amp;B8, 'Carrier Rates'!$E$2:$E$1000, 0))</f>
        <v>7.0000000000000007E-2</v>
      </c>
      <c r="N8" s="40">
        <f t="shared" si="6"/>
        <v>1200</v>
      </c>
      <c r="O8" s="44">
        <f t="shared" si="7"/>
        <v>2131.4293000000007</v>
      </c>
      <c r="P8" s="44">
        <f t="shared" si="8"/>
        <v>1200</v>
      </c>
      <c r="Q8" s="7">
        <f t="shared" si="9"/>
        <v>0.82</v>
      </c>
      <c r="R8" s="44">
        <f t="shared" si="10"/>
        <v>3114.6059999999998</v>
      </c>
      <c r="S8" s="7"/>
      <c r="T8" s="7"/>
      <c r="U8" s="40">
        <f t="shared" si="11"/>
        <v>1200</v>
      </c>
      <c r="V8" s="43">
        <f t="shared" si="12"/>
        <v>1599.6673000000003</v>
      </c>
      <c r="W8" s="42">
        <f t="shared" si="13"/>
        <v>1200</v>
      </c>
      <c r="X8" s="7"/>
      <c r="Y8" s="7"/>
      <c r="Z8" s="7"/>
    </row>
    <row r="9" spans="1:26" ht="16" x14ac:dyDescent="0.2">
      <c r="A9" s="17">
        <v>41876</v>
      </c>
      <c r="B9" s="18">
        <v>2</v>
      </c>
      <c r="C9" s="18" t="s">
        <v>17</v>
      </c>
      <c r="D9" s="19">
        <v>1902</v>
      </c>
      <c r="E9" s="44">
        <f t="shared" si="0"/>
        <v>2092.2000000000003</v>
      </c>
      <c r="F9" s="7">
        <f t="shared" si="1"/>
        <v>2</v>
      </c>
      <c r="G9" s="44">
        <f t="shared" si="2"/>
        <v>4184.4000000000005</v>
      </c>
      <c r="H9" s="44" t="str">
        <f t="shared" si="3"/>
        <v>2014-08-25-2-B</v>
      </c>
      <c r="I9" s="20">
        <f>VLOOKUP(H9,'Historical Shipments'!$D$2:$E$10000,2,FALSE)</f>
        <v>28693.100000000002</v>
      </c>
      <c r="J9" s="20">
        <f t="shared" si="4"/>
        <v>31562.410000000003</v>
      </c>
      <c r="K9" s="44">
        <f t="shared" si="5"/>
        <v>35746.810000000005</v>
      </c>
      <c r="L9" s="40">
        <f t="array" ref="L9">INDEX('Carrier Rates'!$D$2:$D$1000, MATCH("X"&amp;"-"&amp;"B"&amp;"-"&amp;B9, 'Carrier Rates'!$E$2:$E$1000, 0))</f>
        <v>1200</v>
      </c>
      <c r="M9" s="45">
        <f t="array" ref="M9">INDEX('Carrier Rates'!$D$2:$D$1000, MATCH("Y"&amp;"-"&amp;"B"&amp;"-"&amp;B9, 'Carrier Rates'!$E$2:$E$1000, 0))</f>
        <v>0.06</v>
      </c>
      <c r="N9" s="40">
        <f t="shared" si="6"/>
        <v>1200</v>
      </c>
      <c r="O9" s="44">
        <f t="shared" si="7"/>
        <v>2144.8086000000003</v>
      </c>
      <c r="P9" s="44">
        <f t="shared" si="8"/>
        <v>1200</v>
      </c>
      <c r="Q9" s="7">
        <f t="shared" si="9"/>
        <v>0.82</v>
      </c>
      <c r="R9" s="44">
        <f t="shared" si="10"/>
        <v>1715.604</v>
      </c>
      <c r="S9" s="7"/>
      <c r="T9" s="7"/>
      <c r="U9" s="40">
        <f t="shared" si="11"/>
        <v>1200</v>
      </c>
      <c r="V9" s="43">
        <f t="shared" si="12"/>
        <v>1893.7446000000002</v>
      </c>
      <c r="W9" s="42">
        <f t="shared" si="13"/>
        <v>1200</v>
      </c>
      <c r="X9" s="7"/>
      <c r="Y9" s="7"/>
      <c r="Z9" s="7"/>
    </row>
    <row r="10" spans="1:26" ht="16" x14ac:dyDescent="0.2">
      <c r="A10" s="17">
        <v>41883</v>
      </c>
      <c r="B10" s="18">
        <v>1</v>
      </c>
      <c r="C10" s="18" t="s">
        <v>17</v>
      </c>
      <c r="D10" s="19">
        <v>3530</v>
      </c>
      <c r="E10" s="44">
        <f t="shared" si="0"/>
        <v>3883.0000000000005</v>
      </c>
      <c r="F10" s="7">
        <f t="shared" si="1"/>
        <v>2</v>
      </c>
      <c r="G10" s="44">
        <f t="shared" si="2"/>
        <v>7766.0000000000009</v>
      </c>
      <c r="H10" s="44" t="str">
        <f t="shared" si="3"/>
        <v>2014-09-01-1-B</v>
      </c>
      <c r="I10" s="20">
        <f>VLOOKUP(H10,'Historical Shipments'!$D$2:$E$10000,2,FALSE)</f>
        <v>16151.800000000001</v>
      </c>
      <c r="J10" s="20">
        <f t="shared" si="4"/>
        <v>17766.980000000003</v>
      </c>
      <c r="K10" s="44">
        <f t="shared" si="5"/>
        <v>25532.980000000003</v>
      </c>
      <c r="L10" s="40">
        <f t="array" ref="L10">INDEX('Carrier Rates'!$D$2:$D$1000, MATCH("X"&amp;"-"&amp;"B"&amp;"-"&amp;B10, 'Carrier Rates'!$E$2:$E$1000, 0))</f>
        <v>1200</v>
      </c>
      <c r="M10" s="45">
        <f t="array" ref="M10">INDEX('Carrier Rates'!$D$2:$D$1000, MATCH("Y"&amp;"-"&amp;"B"&amp;"-"&amp;B10, 'Carrier Rates'!$E$2:$E$1000, 0))</f>
        <v>7.0000000000000007E-2</v>
      </c>
      <c r="N10" s="40">
        <f t="shared" si="6"/>
        <v>1200</v>
      </c>
      <c r="O10" s="44">
        <f t="shared" si="7"/>
        <v>1787.3086000000003</v>
      </c>
      <c r="P10" s="44">
        <f t="shared" si="8"/>
        <v>1200</v>
      </c>
      <c r="Q10" s="7">
        <f t="shared" si="9"/>
        <v>0.82</v>
      </c>
      <c r="R10" s="44">
        <f t="shared" si="10"/>
        <v>3184.0600000000004</v>
      </c>
      <c r="S10" s="7"/>
      <c r="T10" s="7"/>
      <c r="U10" s="40">
        <f t="shared" si="11"/>
        <v>1200</v>
      </c>
      <c r="V10" s="43">
        <f t="shared" si="12"/>
        <v>1243.6886000000004</v>
      </c>
      <c r="W10" s="42">
        <f t="shared" si="13"/>
        <v>1200</v>
      </c>
      <c r="X10" s="7"/>
      <c r="Y10" s="7"/>
      <c r="Z10" s="7"/>
    </row>
    <row r="11" spans="1:26" ht="16" x14ac:dyDescent="0.2">
      <c r="A11" s="17">
        <v>41883</v>
      </c>
      <c r="B11" s="18">
        <v>2</v>
      </c>
      <c r="C11" s="18" t="s">
        <v>17</v>
      </c>
      <c r="D11" s="19">
        <v>2567</v>
      </c>
      <c r="E11" s="44">
        <f t="shared" si="0"/>
        <v>2823.7000000000003</v>
      </c>
      <c r="F11" s="7">
        <f t="shared" si="1"/>
        <v>2</v>
      </c>
      <c r="G11" s="44">
        <f t="shared" si="2"/>
        <v>5647.4000000000005</v>
      </c>
      <c r="H11" s="44" t="str">
        <f t="shared" si="3"/>
        <v>2014-09-01-2-B</v>
      </c>
      <c r="I11" s="20">
        <f>VLOOKUP(H11,'Historical Shipments'!$D$2:$E$10000,2,FALSE)</f>
        <v>16824.100000000002</v>
      </c>
      <c r="J11" s="20">
        <f t="shared" si="4"/>
        <v>18506.510000000006</v>
      </c>
      <c r="K11" s="44">
        <f t="shared" si="5"/>
        <v>24153.910000000007</v>
      </c>
      <c r="L11" s="40">
        <f t="array" ref="L11">INDEX('Carrier Rates'!$D$2:$D$1000, MATCH("X"&amp;"-"&amp;"B"&amp;"-"&amp;B11, 'Carrier Rates'!$E$2:$E$1000, 0))</f>
        <v>1200</v>
      </c>
      <c r="M11" s="45">
        <f t="array" ref="M11">INDEX('Carrier Rates'!$D$2:$D$1000, MATCH("Y"&amp;"-"&amp;"B"&amp;"-"&amp;B11, 'Carrier Rates'!$E$2:$E$1000, 0))</f>
        <v>0.06</v>
      </c>
      <c r="N11" s="40">
        <f t="shared" si="6"/>
        <v>1200</v>
      </c>
      <c r="O11" s="44">
        <f t="shared" si="7"/>
        <v>1449.2346000000005</v>
      </c>
      <c r="P11" s="44">
        <f t="shared" si="8"/>
        <v>1200</v>
      </c>
      <c r="Q11" s="7">
        <f t="shared" si="9"/>
        <v>0.82</v>
      </c>
      <c r="R11" s="44">
        <f t="shared" si="10"/>
        <v>2315.4340000000002</v>
      </c>
      <c r="S11" s="7"/>
      <c r="T11" s="7"/>
      <c r="U11" s="40">
        <f t="shared" si="11"/>
        <v>1200</v>
      </c>
      <c r="V11" s="43">
        <f t="shared" si="12"/>
        <v>1110.3906000000004</v>
      </c>
      <c r="W11" s="42">
        <f t="shared" si="13"/>
        <v>1110.3906000000004</v>
      </c>
      <c r="X11" s="7"/>
      <c r="Y11" s="7"/>
      <c r="Z11" s="7"/>
    </row>
    <row r="12" spans="1:26" ht="16" x14ac:dyDescent="0.2">
      <c r="A12" s="17">
        <v>41890</v>
      </c>
      <c r="B12" s="18">
        <v>1</v>
      </c>
      <c r="C12" s="18" t="s">
        <v>17</v>
      </c>
      <c r="D12" s="19">
        <v>3288</v>
      </c>
      <c r="E12" s="44">
        <f t="shared" si="0"/>
        <v>3616.8</v>
      </c>
      <c r="F12" s="7">
        <f t="shared" si="1"/>
        <v>2</v>
      </c>
      <c r="G12" s="44">
        <f t="shared" si="2"/>
        <v>7233.6</v>
      </c>
      <c r="H12" s="44" t="str">
        <f t="shared" si="3"/>
        <v>2014-09-08-1-B</v>
      </c>
      <c r="I12" s="20">
        <f>VLOOKUP(H12,'Historical Shipments'!$D$2:$E$10000,2,FALSE)</f>
        <v>16973.5</v>
      </c>
      <c r="J12" s="20">
        <f t="shared" si="4"/>
        <v>18670.850000000002</v>
      </c>
      <c r="K12" s="44">
        <f t="shared" si="5"/>
        <v>25904.450000000004</v>
      </c>
      <c r="L12" s="40">
        <f t="array" ref="L12">INDEX('Carrier Rates'!$D$2:$D$1000, MATCH("X"&amp;"-"&amp;"B"&amp;"-"&amp;B12, 'Carrier Rates'!$E$2:$E$1000, 0))</f>
        <v>1200</v>
      </c>
      <c r="M12" s="45">
        <f t="array" ref="M12">INDEX('Carrier Rates'!$D$2:$D$1000, MATCH("Y"&amp;"-"&amp;"B"&amp;"-"&amp;B12, 'Carrier Rates'!$E$2:$E$1000, 0))</f>
        <v>7.0000000000000007E-2</v>
      </c>
      <c r="N12" s="40">
        <f t="shared" si="6"/>
        <v>1200</v>
      </c>
      <c r="O12" s="44">
        <f t="shared" si="7"/>
        <v>1813.3115000000005</v>
      </c>
      <c r="P12" s="44">
        <f t="shared" si="8"/>
        <v>1200</v>
      </c>
      <c r="Q12" s="7">
        <f t="shared" si="9"/>
        <v>0.82</v>
      </c>
      <c r="R12" s="44">
        <f t="shared" si="10"/>
        <v>2965.7759999999998</v>
      </c>
      <c r="S12" s="7"/>
      <c r="T12" s="7"/>
      <c r="U12" s="40">
        <f t="shared" si="11"/>
        <v>1200</v>
      </c>
      <c r="V12" s="43">
        <f t="shared" si="12"/>
        <v>1306.9595000000004</v>
      </c>
      <c r="W12" s="42">
        <f t="shared" si="13"/>
        <v>1200</v>
      </c>
      <c r="X12" s="7"/>
      <c r="Y12" s="7"/>
      <c r="Z12" s="7"/>
    </row>
    <row r="13" spans="1:26" ht="16" x14ac:dyDescent="0.2">
      <c r="A13" s="17">
        <v>41890</v>
      </c>
      <c r="B13" s="18">
        <v>2</v>
      </c>
      <c r="C13" s="18" t="s">
        <v>17</v>
      </c>
      <c r="D13" s="19">
        <v>2056</v>
      </c>
      <c r="E13" s="44">
        <f t="shared" si="0"/>
        <v>2261.6000000000004</v>
      </c>
      <c r="F13" s="7">
        <f t="shared" si="1"/>
        <v>2</v>
      </c>
      <c r="G13" s="44">
        <f t="shared" si="2"/>
        <v>4523.2000000000007</v>
      </c>
      <c r="H13" s="44" t="str">
        <f t="shared" si="3"/>
        <v>2014-09-08-2-B</v>
      </c>
      <c r="I13" s="20">
        <f>VLOOKUP(H13,'Historical Shipments'!$D$2:$E$10000,2,FALSE)</f>
        <v>18044.2</v>
      </c>
      <c r="J13" s="20">
        <f t="shared" si="4"/>
        <v>19848.620000000003</v>
      </c>
      <c r="K13" s="44">
        <f t="shared" si="5"/>
        <v>24371.820000000003</v>
      </c>
      <c r="L13" s="40">
        <f t="array" ref="L13">INDEX('Carrier Rates'!$D$2:$D$1000, MATCH("X"&amp;"-"&amp;"B"&amp;"-"&amp;B13, 'Carrier Rates'!$E$2:$E$1000, 0))</f>
        <v>1200</v>
      </c>
      <c r="M13" s="45">
        <f t="array" ref="M13">INDEX('Carrier Rates'!$D$2:$D$1000, MATCH("Y"&amp;"-"&amp;"B"&amp;"-"&amp;B13, 'Carrier Rates'!$E$2:$E$1000, 0))</f>
        <v>0.06</v>
      </c>
      <c r="N13" s="40">
        <f t="shared" si="6"/>
        <v>1200</v>
      </c>
      <c r="O13" s="44">
        <f t="shared" si="7"/>
        <v>1462.3092000000001</v>
      </c>
      <c r="P13" s="44">
        <f t="shared" si="8"/>
        <v>1200</v>
      </c>
      <c r="Q13" s="7">
        <f t="shared" si="9"/>
        <v>0.82</v>
      </c>
      <c r="R13" s="44">
        <f t="shared" si="10"/>
        <v>1854.5120000000002</v>
      </c>
      <c r="S13" s="7"/>
      <c r="T13" s="7"/>
      <c r="U13" s="40">
        <f t="shared" si="11"/>
        <v>1200</v>
      </c>
      <c r="V13" s="43">
        <f t="shared" si="12"/>
        <v>1190.9172000000001</v>
      </c>
      <c r="W13" s="42">
        <f t="shared" si="13"/>
        <v>1190.9172000000001</v>
      </c>
      <c r="X13" s="7"/>
      <c r="Y13" s="7"/>
      <c r="Z13" s="7"/>
    </row>
    <row r="14" spans="1:26" ht="16" x14ac:dyDescent="0.2">
      <c r="A14" s="17">
        <v>41897</v>
      </c>
      <c r="B14" s="18">
        <v>1</v>
      </c>
      <c r="C14" s="18" t="s">
        <v>17</v>
      </c>
      <c r="D14" s="19">
        <v>3999</v>
      </c>
      <c r="E14" s="44">
        <f t="shared" si="0"/>
        <v>4398.9000000000005</v>
      </c>
      <c r="F14" s="7">
        <f t="shared" si="1"/>
        <v>2</v>
      </c>
      <c r="G14" s="44">
        <f t="shared" si="2"/>
        <v>8797.8000000000011</v>
      </c>
      <c r="H14" s="44" t="str">
        <f t="shared" si="3"/>
        <v>2014-09-15-1-B</v>
      </c>
      <c r="I14" s="20">
        <f>VLOOKUP(H14,'Historical Shipments'!$D$2:$E$10000,2,FALSE)</f>
        <v>19048.5</v>
      </c>
      <c r="J14" s="20">
        <f t="shared" si="4"/>
        <v>20953.350000000002</v>
      </c>
      <c r="K14" s="44">
        <f t="shared" si="5"/>
        <v>29751.15</v>
      </c>
      <c r="L14" s="40">
        <f t="array" ref="L14">INDEX('Carrier Rates'!$D$2:$D$1000, MATCH("X"&amp;"-"&amp;"B"&amp;"-"&amp;B14, 'Carrier Rates'!$E$2:$E$1000, 0))</f>
        <v>1200</v>
      </c>
      <c r="M14" s="45">
        <f t="array" ref="M14">INDEX('Carrier Rates'!$D$2:$D$1000, MATCH("Y"&amp;"-"&amp;"B"&amp;"-"&amp;B14, 'Carrier Rates'!$E$2:$E$1000, 0))</f>
        <v>7.0000000000000007E-2</v>
      </c>
      <c r="N14" s="40">
        <f t="shared" si="6"/>
        <v>1200</v>
      </c>
      <c r="O14" s="44">
        <f t="shared" si="7"/>
        <v>2082.5805000000005</v>
      </c>
      <c r="P14" s="44">
        <f t="shared" si="8"/>
        <v>1200</v>
      </c>
      <c r="Q14" s="7">
        <f t="shared" si="9"/>
        <v>0.82</v>
      </c>
      <c r="R14" s="44">
        <f t="shared" si="10"/>
        <v>3607.0980000000004</v>
      </c>
      <c r="S14" s="7"/>
      <c r="T14" s="7"/>
      <c r="U14" s="40">
        <f t="shared" si="11"/>
        <v>1200</v>
      </c>
      <c r="V14" s="43">
        <f t="shared" si="12"/>
        <v>1466.7345000000003</v>
      </c>
      <c r="W14" s="42">
        <f t="shared" si="13"/>
        <v>1200</v>
      </c>
      <c r="X14" s="7"/>
      <c r="Y14" s="7"/>
      <c r="Z14" s="7"/>
    </row>
    <row r="15" spans="1:26" ht="16" x14ac:dyDescent="0.2">
      <c r="A15" s="17">
        <v>41897</v>
      </c>
      <c r="B15" s="18">
        <v>2</v>
      </c>
      <c r="C15" s="18" t="s">
        <v>17</v>
      </c>
      <c r="D15" s="19">
        <v>3295</v>
      </c>
      <c r="E15" s="44">
        <f t="shared" si="0"/>
        <v>3624.5000000000005</v>
      </c>
      <c r="F15" s="7">
        <f t="shared" si="1"/>
        <v>2</v>
      </c>
      <c r="G15" s="44">
        <f t="shared" si="2"/>
        <v>7249.0000000000009</v>
      </c>
      <c r="H15" s="44" t="str">
        <f t="shared" si="3"/>
        <v>2014-09-15-2-B</v>
      </c>
      <c r="I15" s="20">
        <f>VLOOKUP(H15,'Historical Shipments'!$D$2:$E$10000,2,FALSE)</f>
        <v>23646.7</v>
      </c>
      <c r="J15" s="20">
        <f t="shared" si="4"/>
        <v>26011.370000000003</v>
      </c>
      <c r="K15" s="44">
        <f t="shared" si="5"/>
        <v>33260.370000000003</v>
      </c>
      <c r="L15" s="40">
        <f t="array" ref="L15">INDEX('Carrier Rates'!$D$2:$D$1000, MATCH("X"&amp;"-"&amp;"B"&amp;"-"&amp;B15, 'Carrier Rates'!$E$2:$E$1000, 0))</f>
        <v>1200</v>
      </c>
      <c r="M15" s="45">
        <f t="array" ref="M15">INDEX('Carrier Rates'!$D$2:$D$1000, MATCH("Y"&amp;"-"&amp;"B"&amp;"-"&amp;B15, 'Carrier Rates'!$E$2:$E$1000, 0))</f>
        <v>0.06</v>
      </c>
      <c r="N15" s="40">
        <f t="shared" si="6"/>
        <v>1200</v>
      </c>
      <c r="O15" s="44">
        <f t="shared" si="7"/>
        <v>1995.6222</v>
      </c>
      <c r="P15" s="44">
        <f t="shared" si="8"/>
        <v>1200</v>
      </c>
      <c r="Q15" s="7">
        <f t="shared" si="9"/>
        <v>0.82</v>
      </c>
      <c r="R15" s="44">
        <f t="shared" si="10"/>
        <v>2972.09</v>
      </c>
      <c r="S15" s="7"/>
      <c r="T15" s="7"/>
      <c r="U15" s="40">
        <f t="shared" si="11"/>
        <v>1200</v>
      </c>
      <c r="V15" s="43">
        <f t="shared" si="12"/>
        <v>1560.6822000000002</v>
      </c>
      <c r="W15" s="42">
        <f t="shared" si="13"/>
        <v>1200</v>
      </c>
      <c r="X15" s="7"/>
      <c r="Y15" s="7"/>
      <c r="Z15" s="7"/>
    </row>
    <row r="16" spans="1:26" ht="16" x14ac:dyDescent="0.2">
      <c r="A16" s="17">
        <v>41904</v>
      </c>
      <c r="B16" s="18">
        <v>1</v>
      </c>
      <c r="C16" s="18" t="s">
        <v>17</v>
      </c>
      <c r="D16" s="19">
        <v>3862</v>
      </c>
      <c r="E16" s="44">
        <f t="shared" si="0"/>
        <v>4248.2000000000007</v>
      </c>
      <c r="F16" s="7">
        <f t="shared" si="1"/>
        <v>2</v>
      </c>
      <c r="G16" s="44">
        <f t="shared" si="2"/>
        <v>8496.4000000000015</v>
      </c>
      <c r="H16" s="44" t="str">
        <f t="shared" si="3"/>
        <v>2014-09-22-1-B</v>
      </c>
      <c r="I16" s="20">
        <f>VLOOKUP(H16,'Historical Shipments'!$D$2:$E$10000,2,FALSE)</f>
        <v>15894.500000000002</v>
      </c>
      <c r="J16" s="20">
        <f t="shared" si="4"/>
        <v>17483.950000000004</v>
      </c>
      <c r="K16" s="44">
        <f t="shared" si="5"/>
        <v>25980.350000000006</v>
      </c>
      <c r="L16" s="40">
        <f t="array" ref="L16">INDEX('Carrier Rates'!$D$2:$D$1000, MATCH("X"&amp;"-"&amp;"B"&amp;"-"&amp;B16, 'Carrier Rates'!$E$2:$E$1000, 0))</f>
        <v>1200</v>
      </c>
      <c r="M16" s="45">
        <f t="array" ref="M16">INDEX('Carrier Rates'!$D$2:$D$1000, MATCH("Y"&amp;"-"&amp;"B"&amp;"-"&amp;B16, 'Carrier Rates'!$E$2:$E$1000, 0))</f>
        <v>7.0000000000000007E-2</v>
      </c>
      <c r="N16" s="40">
        <f t="shared" si="6"/>
        <v>1200</v>
      </c>
      <c r="O16" s="44">
        <f t="shared" si="7"/>
        <v>1818.6245000000006</v>
      </c>
      <c r="P16" s="44">
        <f t="shared" si="8"/>
        <v>1200</v>
      </c>
      <c r="Q16" s="7">
        <f t="shared" si="9"/>
        <v>0.82</v>
      </c>
      <c r="R16" s="44">
        <f t="shared" si="10"/>
        <v>3483.5240000000003</v>
      </c>
      <c r="S16" s="7"/>
      <c r="T16" s="7"/>
      <c r="U16" s="40">
        <f t="shared" si="11"/>
        <v>1200</v>
      </c>
      <c r="V16" s="43">
        <f t="shared" si="12"/>
        <v>1223.8765000000005</v>
      </c>
      <c r="W16" s="42">
        <f t="shared" si="13"/>
        <v>1200</v>
      </c>
      <c r="X16" s="7"/>
      <c r="Y16" s="7"/>
      <c r="Z16" s="7"/>
    </row>
    <row r="17" spans="1:26" ht="16" x14ac:dyDescent="0.2">
      <c r="A17" s="17">
        <v>41904</v>
      </c>
      <c r="B17" s="18">
        <v>2</v>
      </c>
      <c r="C17" s="18" t="s">
        <v>17</v>
      </c>
      <c r="D17" s="19">
        <v>2569</v>
      </c>
      <c r="E17" s="44">
        <f t="shared" si="0"/>
        <v>2825.9</v>
      </c>
      <c r="F17" s="7">
        <f t="shared" si="1"/>
        <v>2</v>
      </c>
      <c r="G17" s="44">
        <f t="shared" si="2"/>
        <v>5651.8</v>
      </c>
      <c r="H17" s="44" t="str">
        <f t="shared" si="3"/>
        <v>2014-09-22-2-B</v>
      </c>
      <c r="I17" s="20">
        <f>VLOOKUP(H17,'Historical Shipments'!$D$2:$E$10000,2,FALSE)</f>
        <v>18890.800000000003</v>
      </c>
      <c r="J17" s="20">
        <f t="shared" si="4"/>
        <v>20779.880000000005</v>
      </c>
      <c r="K17" s="44">
        <f t="shared" si="5"/>
        <v>26431.680000000004</v>
      </c>
      <c r="L17" s="40">
        <f t="array" ref="L17">INDEX('Carrier Rates'!$D$2:$D$1000, MATCH("X"&amp;"-"&amp;"B"&amp;"-"&amp;B17, 'Carrier Rates'!$E$2:$E$1000, 0))</f>
        <v>1200</v>
      </c>
      <c r="M17" s="45">
        <f t="array" ref="M17">INDEX('Carrier Rates'!$D$2:$D$1000, MATCH("Y"&amp;"-"&amp;"B"&amp;"-"&amp;B17, 'Carrier Rates'!$E$2:$E$1000, 0))</f>
        <v>0.06</v>
      </c>
      <c r="N17" s="40">
        <f t="shared" si="6"/>
        <v>1200</v>
      </c>
      <c r="O17" s="44">
        <f t="shared" si="7"/>
        <v>1585.9008000000001</v>
      </c>
      <c r="P17" s="44">
        <f t="shared" si="8"/>
        <v>1200</v>
      </c>
      <c r="Q17" s="7">
        <f t="shared" si="9"/>
        <v>0.82</v>
      </c>
      <c r="R17" s="44">
        <f t="shared" si="10"/>
        <v>2317.2379999999998</v>
      </c>
      <c r="S17" s="7"/>
      <c r="T17" s="7"/>
      <c r="U17" s="40">
        <f t="shared" si="11"/>
        <v>1200</v>
      </c>
      <c r="V17" s="43">
        <f t="shared" si="12"/>
        <v>1246.7928000000002</v>
      </c>
      <c r="W17" s="42">
        <f t="shared" si="13"/>
        <v>1200</v>
      </c>
      <c r="X17" s="7"/>
      <c r="Y17" s="7"/>
      <c r="Z17" s="7"/>
    </row>
    <row r="18" spans="1:26" ht="16" x14ac:dyDescent="0.2">
      <c r="A18" s="17">
        <v>41911</v>
      </c>
      <c r="B18" s="18">
        <v>1</v>
      </c>
      <c r="C18" s="18" t="s">
        <v>17</v>
      </c>
      <c r="D18" s="19">
        <v>3258</v>
      </c>
      <c r="E18" s="44">
        <f t="shared" si="0"/>
        <v>3583.8</v>
      </c>
      <c r="F18" s="7">
        <f t="shared" si="1"/>
        <v>2</v>
      </c>
      <c r="G18" s="44">
        <f t="shared" si="2"/>
        <v>7167.6</v>
      </c>
      <c r="H18" s="44" t="str">
        <f t="shared" si="3"/>
        <v>2014-09-29-1-B</v>
      </c>
      <c r="I18" s="20">
        <f>VLOOKUP(H18,'Historical Shipments'!$D$2:$E$10000,2,FALSE)</f>
        <v>15770.000000000002</v>
      </c>
      <c r="J18" s="20">
        <f t="shared" si="4"/>
        <v>17347.000000000004</v>
      </c>
      <c r="K18" s="44">
        <f t="shared" si="5"/>
        <v>24514.600000000006</v>
      </c>
      <c r="L18" s="40">
        <f t="array" ref="L18">INDEX('Carrier Rates'!$D$2:$D$1000, MATCH("X"&amp;"-"&amp;"B"&amp;"-"&amp;B18, 'Carrier Rates'!$E$2:$E$1000, 0))</f>
        <v>1200</v>
      </c>
      <c r="M18" s="45">
        <f t="array" ref="M18">INDEX('Carrier Rates'!$D$2:$D$1000, MATCH("Y"&amp;"-"&amp;"B"&amp;"-"&amp;B18, 'Carrier Rates'!$E$2:$E$1000, 0))</f>
        <v>7.0000000000000007E-2</v>
      </c>
      <c r="N18" s="40">
        <f t="shared" si="6"/>
        <v>1200</v>
      </c>
      <c r="O18" s="44">
        <f t="shared" si="7"/>
        <v>1716.0220000000006</v>
      </c>
      <c r="P18" s="44">
        <f t="shared" si="8"/>
        <v>1200</v>
      </c>
      <c r="Q18" s="7">
        <f t="shared" si="9"/>
        <v>0.82</v>
      </c>
      <c r="R18" s="44">
        <f t="shared" si="10"/>
        <v>2938.7159999999999</v>
      </c>
      <c r="S18" s="7"/>
      <c r="T18" s="7"/>
      <c r="U18" s="40">
        <f t="shared" si="11"/>
        <v>1200</v>
      </c>
      <c r="V18" s="43">
        <f t="shared" si="12"/>
        <v>1214.2900000000004</v>
      </c>
      <c r="W18" s="42">
        <f t="shared" si="13"/>
        <v>1200</v>
      </c>
      <c r="X18" s="7"/>
      <c r="Y18" s="7"/>
      <c r="Z18" s="7"/>
    </row>
    <row r="19" spans="1:26" ht="16" x14ac:dyDescent="0.2">
      <c r="A19" s="17">
        <v>41911</v>
      </c>
      <c r="B19" s="18">
        <v>2</v>
      </c>
      <c r="C19" s="18" t="s">
        <v>17</v>
      </c>
      <c r="D19" s="19">
        <v>2623</v>
      </c>
      <c r="E19" s="44">
        <f t="shared" si="0"/>
        <v>2885.3</v>
      </c>
      <c r="F19" s="7">
        <f t="shared" si="1"/>
        <v>2</v>
      </c>
      <c r="G19" s="44">
        <f t="shared" si="2"/>
        <v>5770.6</v>
      </c>
      <c r="H19" s="44" t="str">
        <f t="shared" si="3"/>
        <v>2014-09-29-2-B</v>
      </c>
      <c r="I19" s="20">
        <f>VLOOKUP(H19,'Historical Shipments'!$D$2:$E$10000,2,FALSE)</f>
        <v>21198.2</v>
      </c>
      <c r="J19" s="20">
        <f t="shared" si="4"/>
        <v>23318.020000000004</v>
      </c>
      <c r="K19" s="44">
        <f t="shared" si="5"/>
        <v>29088.620000000003</v>
      </c>
      <c r="L19" s="40">
        <f t="array" ref="L19">INDEX('Carrier Rates'!$D$2:$D$1000, MATCH("X"&amp;"-"&amp;"B"&amp;"-"&amp;B19, 'Carrier Rates'!$E$2:$E$1000, 0))</f>
        <v>1200</v>
      </c>
      <c r="M19" s="45">
        <f t="array" ref="M19">INDEX('Carrier Rates'!$D$2:$D$1000, MATCH("Y"&amp;"-"&amp;"B"&amp;"-"&amp;B19, 'Carrier Rates'!$E$2:$E$1000, 0))</f>
        <v>0.06</v>
      </c>
      <c r="N19" s="40">
        <f t="shared" si="6"/>
        <v>1200</v>
      </c>
      <c r="O19" s="44">
        <f t="shared" si="7"/>
        <v>1745.3172000000002</v>
      </c>
      <c r="P19" s="44">
        <f t="shared" si="8"/>
        <v>1200</v>
      </c>
      <c r="Q19" s="7">
        <f t="shared" si="9"/>
        <v>0.82</v>
      </c>
      <c r="R19" s="44">
        <f t="shared" si="10"/>
        <v>2365.9459999999999</v>
      </c>
      <c r="S19" s="7"/>
      <c r="T19" s="7"/>
      <c r="U19" s="40">
        <f t="shared" si="11"/>
        <v>1200</v>
      </c>
      <c r="V19" s="43">
        <f t="shared" si="12"/>
        <v>1399.0812000000001</v>
      </c>
      <c r="W19" s="42">
        <f t="shared" si="13"/>
        <v>1200</v>
      </c>
      <c r="X19" s="7"/>
      <c r="Y19" s="7"/>
      <c r="Z19" s="7"/>
    </row>
    <row r="20" spans="1:26" ht="16" x14ac:dyDescent="0.2">
      <c r="A20" s="17">
        <v>41918</v>
      </c>
      <c r="B20" s="18">
        <v>1</v>
      </c>
      <c r="C20" s="18" t="s">
        <v>17</v>
      </c>
      <c r="D20" s="19">
        <v>4228</v>
      </c>
      <c r="E20" s="44">
        <f t="shared" si="0"/>
        <v>4650.8</v>
      </c>
      <c r="F20" s="7">
        <f t="shared" si="1"/>
        <v>2</v>
      </c>
      <c r="G20" s="44">
        <f t="shared" si="2"/>
        <v>9301.6</v>
      </c>
      <c r="H20" s="44" t="str">
        <f t="shared" si="3"/>
        <v>2014-10-06-1-B</v>
      </c>
      <c r="I20" s="20">
        <f>VLOOKUP(H20,'Historical Shipments'!$D$2:$E$10000,2,FALSE)</f>
        <v>16915.400000000001</v>
      </c>
      <c r="J20" s="20">
        <f t="shared" si="4"/>
        <v>18606.940000000002</v>
      </c>
      <c r="K20" s="44">
        <f t="shared" si="5"/>
        <v>27908.54</v>
      </c>
      <c r="L20" s="40">
        <f t="array" ref="L20">INDEX('Carrier Rates'!$D$2:$D$1000, MATCH("X"&amp;"-"&amp;"B"&amp;"-"&amp;B20, 'Carrier Rates'!$E$2:$E$1000, 0))</f>
        <v>1200</v>
      </c>
      <c r="M20" s="45">
        <f t="array" ref="M20">INDEX('Carrier Rates'!$D$2:$D$1000, MATCH("Y"&amp;"-"&amp;"B"&amp;"-"&amp;B20, 'Carrier Rates'!$E$2:$E$1000, 0))</f>
        <v>7.0000000000000007E-2</v>
      </c>
      <c r="N20" s="40">
        <f t="shared" si="6"/>
        <v>1200</v>
      </c>
      <c r="O20" s="44">
        <f t="shared" si="7"/>
        <v>1953.5978000000002</v>
      </c>
      <c r="P20" s="44">
        <f t="shared" si="8"/>
        <v>1200</v>
      </c>
      <c r="Q20" s="7">
        <f t="shared" si="9"/>
        <v>0.82</v>
      </c>
      <c r="R20" s="44">
        <f t="shared" si="10"/>
        <v>3813.6559999999999</v>
      </c>
      <c r="S20" s="7"/>
      <c r="T20" s="7"/>
      <c r="U20" s="40">
        <f t="shared" si="11"/>
        <v>1200</v>
      </c>
      <c r="V20" s="43">
        <f t="shared" si="12"/>
        <v>1302.4858000000004</v>
      </c>
      <c r="W20" s="42">
        <f t="shared" si="13"/>
        <v>1200</v>
      </c>
      <c r="X20" s="7"/>
      <c r="Y20" s="7"/>
      <c r="Z20" s="7"/>
    </row>
    <row r="21" spans="1:26" ht="15.75" customHeight="1" x14ac:dyDescent="0.2">
      <c r="A21" s="17">
        <v>41918</v>
      </c>
      <c r="B21" s="18">
        <v>2</v>
      </c>
      <c r="C21" s="18" t="s">
        <v>17</v>
      </c>
      <c r="D21" s="19">
        <v>2897</v>
      </c>
      <c r="E21" s="44">
        <f t="shared" si="0"/>
        <v>3186.7000000000003</v>
      </c>
      <c r="F21" s="7">
        <f t="shared" si="1"/>
        <v>2</v>
      </c>
      <c r="G21" s="44">
        <f t="shared" si="2"/>
        <v>6373.4000000000005</v>
      </c>
      <c r="H21" s="44" t="str">
        <f t="shared" si="3"/>
        <v>2014-10-06-2-B</v>
      </c>
      <c r="I21" s="20">
        <f>VLOOKUP(H21,'Historical Shipments'!$D$2:$E$10000,2,FALSE)</f>
        <v>17936.300000000003</v>
      </c>
      <c r="J21" s="20">
        <f t="shared" si="4"/>
        <v>19729.930000000004</v>
      </c>
      <c r="K21" s="44">
        <f t="shared" si="5"/>
        <v>26103.330000000005</v>
      </c>
      <c r="L21" s="40">
        <f t="array" ref="L21">INDEX('Carrier Rates'!$D$2:$D$1000, MATCH("X"&amp;"-"&amp;"B"&amp;"-"&amp;B21, 'Carrier Rates'!$E$2:$E$1000, 0))</f>
        <v>1200</v>
      </c>
      <c r="M21" s="45">
        <f t="array" ref="M21">INDEX('Carrier Rates'!$D$2:$D$1000, MATCH("Y"&amp;"-"&amp;"B"&amp;"-"&amp;B21, 'Carrier Rates'!$E$2:$E$1000, 0))</f>
        <v>0.06</v>
      </c>
      <c r="N21" s="40">
        <f t="shared" si="6"/>
        <v>1200</v>
      </c>
      <c r="O21" s="44">
        <f t="shared" si="7"/>
        <v>1566.1998000000003</v>
      </c>
      <c r="P21" s="44">
        <f t="shared" si="8"/>
        <v>1200</v>
      </c>
      <c r="Q21" s="7">
        <f t="shared" si="9"/>
        <v>0.82</v>
      </c>
      <c r="R21" s="44">
        <f t="shared" si="10"/>
        <v>2613.0940000000001</v>
      </c>
      <c r="S21" s="7"/>
      <c r="T21" s="7"/>
      <c r="U21" s="40">
        <f t="shared" si="11"/>
        <v>1200</v>
      </c>
      <c r="V21" s="43">
        <f t="shared" si="12"/>
        <v>1183.7958000000001</v>
      </c>
      <c r="W21" s="42">
        <f t="shared" si="13"/>
        <v>1183.7958000000001</v>
      </c>
      <c r="X21" s="7"/>
      <c r="Y21" s="7"/>
      <c r="Z21" s="7"/>
    </row>
    <row r="22" spans="1:26" ht="15.75" customHeight="1" x14ac:dyDescent="0.2">
      <c r="A22" s="17">
        <v>41925</v>
      </c>
      <c r="B22" s="18">
        <v>1</v>
      </c>
      <c r="C22" s="18" t="s">
        <v>17</v>
      </c>
      <c r="D22" s="19">
        <v>3530</v>
      </c>
      <c r="E22" s="44">
        <f t="shared" si="0"/>
        <v>3883.0000000000005</v>
      </c>
      <c r="F22" s="7">
        <f t="shared" si="1"/>
        <v>2</v>
      </c>
      <c r="G22" s="44">
        <f t="shared" si="2"/>
        <v>7766.0000000000009</v>
      </c>
      <c r="H22" s="44" t="str">
        <f t="shared" si="3"/>
        <v>2014-10-13-1-B</v>
      </c>
      <c r="I22" s="20">
        <f>VLOOKUP(H22,'Historical Shipments'!$D$2:$E$10000,2,FALSE)</f>
        <v>17015</v>
      </c>
      <c r="J22" s="20">
        <f t="shared" si="4"/>
        <v>18716.5</v>
      </c>
      <c r="K22" s="44">
        <f t="shared" si="5"/>
        <v>26482.5</v>
      </c>
      <c r="L22" s="40">
        <f t="array" ref="L22">INDEX('Carrier Rates'!$D$2:$D$1000, MATCH("X"&amp;"-"&amp;"B"&amp;"-"&amp;B22, 'Carrier Rates'!$E$2:$E$1000, 0))</f>
        <v>1200</v>
      </c>
      <c r="M22" s="45">
        <f t="array" ref="M22">INDEX('Carrier Rates'!$D$2:$D$1000, MATCH("Y"&amp;"-"&amp;"B"&amp;"-"&amp;B22, 'Carrier Rates'!$E$2:$E$1000, 0))</f>
        <v>7.0000000000000007E-2</v>
      </c>
      <c r="N22" s="40">
        <f t="shared" si="6"/>
        <v>1200</v>
      </c>
      <c r="O22" s="44">
        <f t="shared" si="7"/>
        <v>1853.7750000000001</v>
      </c>
      <c r="P22" s="44">
        <f t="shared" si="8"/>
        <v>1200</v>
      </c>
      <c r="Q22" s="7">
        <f t="shared" si="9"/>
        <v>0.82</v>
      </c>
      <c r="R22" s="44">
        <f t="shared" si="10"/>
        <v>3184.0600000000004</v>
      </c>
      <c r="S22" s="7"/>
      <c r="T22" s="7"/>
      <c r="U22" s="40">
        <f t="shared" si="11"/>
        <v>1200</v>
      </c>
      <c r="V22" s="43">
        <f t="shared" si="12"/>
        <v>1310.1550000000002</v>
      </c>
      <c r="W22" s="42">
        <f t="shared" si="13"/>
        <v>1200</v>
      </c>
      <c r="X22" s="7"/>
      <c r="Y22" s="7"/>
      <c r="Z22" s="7"/>
    </row>
    <row r="23" spans="1:26" ht="15.75" customHeight="1" x14ac:dyDescent="0.2">
      <c r="A23" s="17">
        <v>41925</v>
      </c>
      <c r="B23" s="18">
        <v>2</v>
      </c>
      <c r="C23" s="18" t="s">
        <v>17</v>
      </c>
      <c r="D23" s="19">
        <v>2868</v>
      </c>
      <c r="E23" s="44">
        <f t="shared" si="0"/>
        <v>3154.8</v>
      </c>
      <c r="F23" s="7">
        <f t="shared" si="1"/>
        <v>2</v>
      </c>
      <c r="G23" s="44">
        <f t="shared" si="2"/>
        <v>6309.6</v>
      </c>
      <c r="H23" s="44" t="str">
        <f t="shared" si="3"/>
        <v>2014-10-13-2-B</v>
      </c>
      <c r="I23" s="20">
        <f>VLOOKUP(H23,'Historical Shipments'!$D$2:$E$10000,2,FALSE)</f>
        <v>18085.7</v>
      </c>
      <c r="J23" s="20">
        <f t="shared" si="4"/>
        <v>19894.270000000004</v>
      </c>
      <c r="K23" s="44">
        <f t="shared" si="5"/>
        <v>26203.870000000003</v>
      </c>
      <c r="L23" s="40">
        <f t="array" ref="L23">INDEX('Carrier Rates'!$D$2:$D$1000, MATCH("X"&amp;"-"&amp;"B"&amp;"-"&amp;B23, 'Carrier Rates'!$E$2:$E$1000, 0))</f>
        <v>1200</v>
      </c>
      <c r="M23" s="45">
        <f t="array" ref="M23">INDEX('Carrier Rates'!$D$2:$D$1000, MATCH("Y"&amp;"-"&amp;"B"&amp;"-"&amp;B23, 'Carrier Rates'!$E$2:$E$1000, 0))</f>
        <v>0.06</v>
      </c>
      <c r="N23" s="40">
        <f t="shared" si="6"/>
        <v>1200</v>
      </c>
      <c r="O23" s="44">
        <f t="shared" si="7"/>
        <v>1572.2322000000001</v>
      </c>
      <c r="P23" s="44">
        <f t="shared" si="8"/>
        <v>1200</v>
      </c>
      <c r="Q23" s="7">
        <f t="shared" si="9"/>
        <v>0.82</v>
      </c>
      <c r="R23" s="44">
        <f t="shared" si="10"/>
        <v>2586.9360000000001</v>
      </c>
      <c r="S23" s="7"/>
      <c r="T23" s="7"/>
      <c r="U23" s="40">
        <f t="shared" si="11"/>
        <v>1200</v>
      </c>
      <c r="V23" s="43">
        <f t="shared" si="12"/>
        <v>1193.6562000000001</v>
      </c>
      <c r="W23" s="42">
        <f t="shared" si="13"/>
        <v>1193.6562000000001</v>
      </c>
      <c r="X23" s="7"/>
      <c r="Y23" s="7"/>
      <c r="Z23" s="7"/>
    </row>
    <row r="24" spans="1:26" ht="15.75" customHeight="1" x14ac:dyDescent="0.2">
      <c r="A24" s="17">
        <v>41932</v>
      </c>
      <c r="B24" s="18">
        <v>1</v>
      </c>
      <c r="C24" s="18" t="s">
        <v>17</v>
      </c>
      <c r="D24" s="19">
        <v>4227</v>
      </c>
      <c r="E24" s="44">
        <f t="shared" si="0"/>
        <v>4649.7000000000007</v>
      </c>
      <c r="F24" s="7">
        <f t="shared" si="1"/>
        <v>2</v>
      </c>
      <c r="G24" s="44">
        <f t="shared" si="2"/>
        <v>9299.4000000000015</v>
      </c>
      <c r="H24" s="44" t="str">
        <f t="shared" si="3"/>
        <v>2014-10-20-1-B</v>
      </c>
      <c r="I24" s="20">
        <f>VLOOKUP(H24,'Historical Shipments'!$D$2:$E$10000,2,FALSE)</f>
        <v>15687.000000000002</v>
      </c>
      <c r="J24" s="20">
        <f t="shared" si="4"/>
        <v>17255.700000000004</v>
      </c>
      <c r="K24" s="44">
        <f t="shared" si="5"/>
        <v>26555.100000000006</v>
      </c>
      <c r="L24" s="40">
        <f t="array" ref="L24">INDEX('Carrier Rates'!$D$2:$D$1000, MATCH("X"&amp;"-"&amp;"B"&amp;"-"&amp;B24, 'Carrier Rates'!$E$2:$E$1000, 0))</f>
        <v>1200</v>
      </c>
      <c r="M24" s="45">
        <f t="array" ref="M24">INDEX('Carrier Rates'!$D$2:$D$1000, MATCH("Y"&amp;"-"&amp;"B"&amp;"-"&amp;B24, 'Carrier Rates'!$E$2:$E$1000, 0))</f>
        <v>7.0000000000000007E-2</v>
      </c>
      <c r="N24" s="40">
        <f t="shared" si="6"/>
        <v>1200</v>
      </c>
      <c r="O24" s="44">
        <f t="shared" si="7"/>
        <v>1858.8570000000007</v>
      </c>
      <c r="P24" s="44">
        <f t="shared" si="8"/>
        <v>1200</v>
      </c>
      <c r="Q24" s="7">
        <f t="shared" si="9"/>
        <v>0.82</v>
      </c>
      <c r="R24" s="44">
        <f t="shared" si="10"/>
        <v>3812.7540000000004</v>
      </c>
      <c r="S24" s="7"/>
      <c r="T24" s="7"/>
      <c r="U24" s="40">
        <f t="shared" si="11"/>
        <v>1200</v>
      </c>
      <c r="V24" s="43">
        <f t="shared" si="12"/>
        <v>1207.8990000000003</v>
      </c>
      <c r="W24" s="42">
        <f t="shared" si="13"/>
        <v>1200</v>
      </c>
      <c r="X24" s="7"/>
      <c r="Y24" s="7"/>
      <c r="Z24" s="7"/>
    </row>
    <row r="25" spans="1:26" ht="15.75" customHeight="1" x14ac:dyDescent="0.2">
      <c r="A25" s="17">
        <v>41932</v>
      </c>
      <c r="B25" s="18">
        <v>2</v>
      </c>
      <c r="C25" s="18" t="s">
        <v>17</v>
      </c>
      <c r="D25" s="19">
        <v>3205</v>
      </c>
      <c r="E25" s="44">
        <f t="shared" si="0"/>
        <v>3525.5000000000005</v>
      </c>
      <c r="F25" s="7">
        <f t="shared" si="1"/>
        <v>2</v>
      </c>
      <c r="G25" s="44">
        <f t="shared" si="2"/>
        <v>7051.0000000000009</v>
      </c>
      <c r="H25" s="44" t="str">
        <f t="shared" si="3"/>
        <v>2014-10-20-2-B</v>
      </c>
      <c r="I25" s="20">
        <f>VLOOKUP(H25,'Historical Shipments'!$D$2:$E$10000,2,FALSE)</f>
        <v>21065.4</v>
      </c>
      <c r="J25" s="20">
        <f t="shared" si="4"/>
        <v>23171.940000000002</v>
      </c>
      <c r="K25" s="44">
        <f t="shared" si="5"/>
        <v>30222.940000000002</v>
      </c>
      <c r="L25" s="40">
        <f t="array" ref="L25">INDEX('Carrier Rates'!$D$2:$D$1000, MATCH("X"&amp;"-"&amp;"B"&amp;"-"&amp;B25, 'Carrier Rates'!$E$2:$E$1000, 0))</f>
        <v>1200</v>
      </c>
      <c r="M25" s="45">
        <f t="array" ref="M25">INDEX('Carrier Rates'!$D$2:$D$1000, MATCH("Y"&amp;"-"&amp;"B"&amp;"-"&amp;B25, 'Carrier Rates'!$E$2:$E$1000, 0))</f>
        <v>0.06</v>
      </c>
      <c r="N25" s="40">
        <f t="shared" si="6"/>
        <v>1200</v>
      </c>
      <c r="O25" s="44">
        <f t="shared" si="7"/>
        <v>1813.3764000000001</v>
      </c>
      <c r="P25" s="44">
        <f t="shared" si="8"/>
        <v>1200</v>
      </c>
      <c r="Q25" s="7">
        <f t="shared" si="9"/>
        <v>0.82</v>
      </c>
      <c r="R25" s="44">
        <f t="shared" si="10"/>
        <v>2890.9100000000003</v>
      </c>
      <c r="S25" s="7"/>
      <c r="T25" s="7"/>
      <c r="U25" s="40">
        <f t="shared" si="11"/>
        <v>1200</v>
      </c>
      <c r="V25" s="43">
        <f t="shared" si="12"/>
        <v>1390.3164000000002</v>
      </c>
      <c r="W25" s="42">
        <f t="shared" si="13"/>
        <v>1200</v>
      </c>
      <c r="X25" s="7"/>
      <c r="Y25" s="7"/>
      <c r="Z25" s="7"/>
    </row>
    <row r="26" spans="1:26" ht="15.75" customHeight="1" x14ac:dyDescent="0.2">
      <c r="A26" s="17">
        <v>41939</v>
      </c>
      <c r="B26" s="18">
        <v>1</v>
      </c>
      <c r="C26" s="18" t="s">
        <v>17</v>
      </c>
      <c r="D26" s="19">
        <v>2990</v>
      </c>
      <c r="E26" s="44">
        <f t="shared" si="0"/>
        <v>3289.0000000000005</v>
      </c>
      <c r="F26" s="7">
        <f t="shared" si="1"/>
        <v>2</v>
      </c>
      <c r="G26" s="44">
        <f t="shared" si="2"/>
        <v>6578.0000000000009</v>
      </c>
      <c r="H26" s="44" t="str">
        <f t="shared" si="3"/>
        <v>2014-10-27-1-B</v>
      </c>
      <c r="I26" s="20">
        <f>VLOOKUP(H26,'Historical Shipments'!$D$2:$E$10000,2,FALSE)</f>
        <v>17313.800000000003</v>
      </c>
      <c r="J26" s="20">
        <f t="shared" si="4"/>
        <v>19045.180000000004</v>
      </c>
      <c r="K26" s="44">
        <f t="shared" si="5"/>
        <v>25623.180000000004</v>
      </c>
      <c r="L26" s="40">
        <f t="array" ref="L26">INDEX('Carrier Rates'!$D$2:$D$1000, MATCH("X"&amp;"-"&amp;"B"&amp;"-"&amp;B26, 'Carrier Rates'!$E$2:$E$1000, 0))</f>
        <v>1200</v>
      </c>
      <c r="M26" s="45">
        <f t="array" ref="M26">INDEX('Carrier Rates'!$D$2:$D$1000, MATCH("Y"&amp;"-"&amp;"B"&amp;"-"&amp;B26, 'Carrier Rates'!$E$2:$E$1000, 0))</f>
        <v>7.0000000000000007E-2</v>
      </c>
      <c r="N26" s="40">
        <f t="shared" si="6"/>
        <v>1200</v>
      </c>
      <c r="O26" s="44">
        <f t="shared" si="7"/>
        <v>1793.6226000000004</v>
      </c>
      <c r="P26" s="44">
        <f t="shared" si="8"/>
        <v>1200</v>
      </c>
      <c r="Q26" s="7">
        <f t="shared" si="9"/>
        <v>0.82</v>
      </c>
      <c r="R26" s="44">
        <f t="shared" si="10"/>
        <v>2696.98</v>
      </c>
      <c r="S26" s="7"/>
      <c r="T26" s="7"/>
      <c r="U26" s="40">
        <f t="shared" si="11"/>
        <v>1200</v>
      </c>
      <c r="V26" s="43">
        <f t="shared" si="12"/>
        <v>1333.1626000000003</v>
      </c>
      <c r="W26" s="42">
        <f t="shared" si="13"/>
        <v>1200</v>
      </c>
      <c r="X26" s="7"/>
      <c r="Y26" s="7"/>
      <c r="Z26" s="7"/>
    </row>
    <row r="27" spans="1:26" ht="15.75" customHeight="1" x14ac:dyDescent="0.2">
      <c r="A27" s="17">
        <v>41939</v>
      </c>
      <c r="B27" s="18">
        <v>2</v>
      </c>
      <c r="C27" s="18" t="s">
        <v>17</v>
      </c>
      <c r="D27" s="19">
        <v>1470</v>
      </c>
      <c r="E27" s="44">
        <f t="shared" si="0"/>
        <v>1617.0000000000002</v>
      </c>
      <c r="F27" s="7">
        <f t="shared" si="1"/>
        <v>2</v>
      </c>
      <c r="G27" s="44">
        <f t="shared" si="2"/>
        <v>3234.0000000000005</v>
      </c>
      <c r="H27" s="44" t="str">
        <f t="shared" si="3"/>
        <v>2014-10-27-2-B</v>
      </c>
      <c r="I27" s="20">
        <f>VLOOKUP(H27,'Historical Shipments'!$D$2:$E$10000,2,FALSE)</f>
        <v>23513.9</v>
      </c>
      <c r="J27" s="20">
        <f t="shared" si="4"/>
        <v>25865.290000000005</v>
      </c>
      <c r="K27" s="44">
        <f t="shared" si="5"/>
        <v>29099.290000000005</v>
      </c>
      <c r="L27" s="40">
        <f t="array" ref="L27">INDEX('Carrier Rates'!$D$2:$D$1000, MATCH("X"&amp;"-"&amp;"B"&amp;"-"&amp;B27, 'Carrier Rates'!$E$2:$E$1000, 0))</f>
        <v>1200</v>
      </c>
      <c r="M27" s="45">
        <f t="array" ref="M27">INDEX('Carrier Rates'!$D$2:$D$1000, MATCH("Y"&amp;"-"&amp;"B"&amp;"-"&amp;B27, 'Carrier Rates'!$E$2:$E$1000, 0))</f>
        <v>0.06</v>
      </c>
      <c r="N27" s="40">
        <f t="shared" si="6"/>
        <v>1200</v>
      </c>
      <c r="O27" s="44">
        <f t="shared" si="7"/>
        <v>1745.9574000000002</v>
      </c>
      <c r="P27" s="44">
        <f t="shared" si="8"/>
        <v>1200</v>
      </c>
      <c r="Q27" s="7">
        <f t="shared" si="9"/>
        <v>0.82</v>
      </c>
      <c r="R27" s="44">
        <f t="shared" si="10"/>
        <v>1325.94</v>
      </c>
      <c r="S27" s="7"/>
      <c r="T27" s="7"/>
      <c r="U27" s="40">
        <f t="shared" si="11"/>
        <v>1200</v>
      </c>
      <c r="V27" s="43">
        <f t="shared" si="12"/>
        <v>1551.9174000000003</v>
      </c>
      <c r="W27" s="42">
        <f t="shared" si="13"/>
        <v>1200</v>
      </c>
      <c r="X27" s="7"/>
      <c r="Y27" s="7"/>
      <c r="Z27" s="7"/>
    </row>
    <row r="28" spans="1:26" ht="15.75" customHeight="1" x14ac:dyDescent="0.2">
      <c r="A28" s="17">
        <v>41946</v>
      </c>
      <c r="B28" s="18">
        <v>1</v>
      </c>
      <c r="C28" s="18" t="s">
        <v>17</v>
      </c>
      <c r="D28" s="19">
        <v>3493</v>
      </c>
      <c r="E28" s="44">
        <f t="shared" si="0"/>
        <v>3842.3</v>
      </c>
      <c r="F28" s="7">
        <f t="shared" si="1"/>
        <v>2</v>
      </c>
      <c r="G28" s="44">
        <f t="shared" si="2"/>
        <v>7684.6</v>
      </c>
      <c r="H28" s="44" t="str">
        <f t="shared" si="3"/>
        <v>2014-11-03-1-B</v>
      </c>
      <c r="I28" s="20">
        <f>VLOOKUP(H28,'Historical Shipments'!$D$2:$E$10000,2,FALSE)</f>
        <v>16317.800000000001</v>
      </c>
      <c r="J28" s="20">
        <f t="shared" si="4"/>
        <v>17949.580000000002</v>
      </c>
      <c r="K28" s="44">
        <f t="shared" si="5"/>
        <v>25634.18</v>
      </c>
      <c r="L28" s="40">
        <f t="array" ref="L28">INDEX('Carrier Rates'!$D$2:$D$1000, MATCH("X"&amp;"-"&amp;"B"&amp;"-"&amp;B28, 'Carrier Rates'!$E$2:$E$1000, 0))</f>
        <v>1200</v>
      </c>
      <c r="M28" s="45">
        <f t="array" ref="M28">INDEX('Carrier Rates'!$D$2:$D$1000, MATCH("Y"&amp;"-"&amp;"B"&amp;"-"&amp;B28, 'Carrier Rates'!$E$2:$E$1000, 0))</f>
        <v>7.0000000000000007E-2</v>
      </c>
      <c r="N28" s="40">
        <f t="shared" si="6"/>
        <v>1200</v>
      </c>
      <c r="O28" s="44">
        <f t="shared" si="7"/>
        <v>1794.3926000000001</v>
      </c>
      <c r="P28" s="44">
        <f t="shared" si="8"/>
        <v>1200</v>
      </c>
      <c r="Q28" s="7">
        <f t="shared" si="9"/>
        <v>0.82</v>
      </c>
      <c r="R28" s="44">
        <f t="shared" si="10"/>
        <v>3150.6860000000001</v>
      </c>
      <c r="S28" s="7"/>
      <c r="T28" s="7"/>
      <c r="U28" s="40">
        <f t="shared" si="11"/>
        <v>1200</v>
      </c>
      <c r="V28" s="43">
        <f t="shared" si="12"/>
        <v>1256.4706000000003</v>
      </c>
      <c r="W28" s="42">
        <f t="shared" si="13"/>
        <v>1200</v>
      </c>
      <c r="X28" s="7"/>
      <c r="Y28" s="7"/>
      <c r="Z28" s="7"/>
    </row>
    <row r="29" spans="1:26" ht="15.75" customHeight="1" x14ac:dyDescent="0.2">
      <c r="A29" s="17">
        <v>41946</v>
      </c>
      <c r="B29" s="18">
        <v>2</v>
      </c>
      <c r="C29" s="18" t="s">
        <v>17</v>
      </c>
      <c r="D29" s="19">
        <v>2842</v>
      </c>
      <c r="E29" s="44">
        <f t="shared" si="0"/>
        <v>3126.2000000000003</v>
      </c>
      <c r="F29" s="7">
        <f t="shared" si="1"/>
        <v>2</v>
      </c>
      <c r="G29" s="44">
        <f t="shared" si="2"/>
        <v>6252.4000000000005</v>
      </c>
      <c r="H29" s="44" t="str">
        <f t="shared" si="3"/>
        <v>2014-11-03-2-B</v>
      </c>
      <c r="I29" s="20">
        <f>VLOOKUP(H29,'Historical Shipments'!$D$2:$E$10000,2,FALSE)</f>
        <v>19529.900000000001</v>
      </c>
      <c r="J29" s="20">
        <f t="shared" si="4"/>
        <v>21482.890000000003</v>
      </c>
      <c r="K29" s="44">
        <f t="shared" si="5"/>
        <v>27735.290000000005</v>
      </c>
      <c r="L29" s="40">
        <f t="array" ref="L29">INDEX('Carrier Rates'!$D$2:$D$1000, MATCH("X"&amp;"-"&amp;"B"&amp;"-"&amp;B29, 'Carrier Rates'!$E$2:$E$1000, 0))</f>
        <v>1200</v>
      </c>
      <c r="M29" s="45">
        <f t="array" ref="M29">INDEX('Carrier Rates'!$D$2:$D$1000, MATCH("Y"&amp;"-"&amp;"B"&amp;"-"&amp;B29, 'Carrier Rates'!$E$2:$E$1000, 0))</f>
        <v>0.06</v>
      </c>
      <c r="N29" s="40">
        <f t="shared" si="6"/>
        <v>1200</v>
      </c>
      <c r="O29" s="44">
        <f t="shared" si="7"/>
        <v>1664.1174000000003</v>
      </c>
      <c r="P29" s="44">
        <f t="shared" si="8"/>
        <v>1200</v>
      </c>
      <c r="Q29" s="7">
        <f t="shared" si="9"/>
        <v>0.82</v>
      </c>
      <c r="R29" s="44">
        <f t="shared" si="10"/>
        <v>2563.4839999999999</v>
      </c>
      <c r="S29" s="7"/>
      <c r="T29" s="7"/>
      <c r="U29" s="40">
        <f t="shared" si="11"/>
        <v>1200</v>
      </c>
      <c r="V29" s="43">
        <f t="shared" si="12"/>
        <v>1288.9734000000001</v>
      </c>
      <c r="W29" s="42">
        <f t="shared" si="13"/>
        <v>1200</v>
      </c>
      <c r="X29" s="7"/>
      <c r="Y29" s="7"/>
      <c r="Z29" s="7"/>
    </row>
    <row r="30" spans="1:26" ht="15.75" customHeight="1" x14ac:dyDescent="0.2">
      <c r="A30" s="17">
        <v>41953</v>
      </c>
      <c r="B30" s="18">
        <v>1</v>
      </c>
      <c r="C30" s="18" t="s">
        <v>17</v>
      </c>
      <c r="D30" s="19">
        <v>4838</v>
      </c>
      <c r="E30" s="44">
        <f t="shared" si="0"/>
        <v>5321.8</v>
      </c>
      <c r="F30" s="7">
        <f t="shared" si="1"/>
        <v>2</v>
      </c>
      <c r="G30" s="44">
        <f t="shared" si="2"/>
        <v>10643.6</v>
      </c>
      <c r="H30" s="44" t="str">
        <f t="shared" si="3"/>
        <v>2014-11-10-1-B</v>
      </c>
      <c r="I30" s="20">
        <f>VLOOKUP(H30,'Historical Shipments'!$D$2:$E$10000,2,FALSE)</f>
        <v>15562.500000000002</v>
      </c>
      <c r="J30" s="20">
        <f t="shared" si="4"/>
        <v>17118.750000000004</v>
      </c>
      <c r="K30" s="44">
        <f t="shared" si="5"/>
        <v>27762.350000000006</v>
      </c>
      <c r="L30" s="40">
        <f t="array" ref="L30">INDEX('Carrier Rates'!$D$2:$D$1000, MATCH("X"&amp;"-"&amp;"B"&amp;"-"&amp;B30, 'Carrier Rates'!$E$2:$E$1000, 0))</f>
        <v>1200</v>
      </c>
      <c r="M30" s="45">
        <f t="array" ref="M30">INDEX('Carrier Rates'!$D$2:$D$1000, MATCH("Y"&amp;"-"&amp;"B"&amp;"-"&amp;B30, 'Carrier Rates'!$E$2:$E$1000, 0))</f>
        <v>7.0000000000000007E-2</v>
      </c>
      <c r="N30" s="40">
        <f t="shared" si="6"/>
        <v>1200</v>
      </c>
      <c r="O30" s="44">
        <f t="shared" si="7"/>
        <v>1943.3645000000006</v>
      </c>
      <c r="P30" s="44">
        <f t="shared" si="8"/>
        <v>1200</v>
      </c>
      <c r="Q30" s="7">
        <f t="shared" si="9"/>
        <v>0.82</v>
      </c>
      <c r="R30" s="44">
        <f t="shared" si="10"/>
        <v>4363.8760000000002</v>
      </c>
      <c r="S30" s="7"/>
      <c r="T30" s="7"/>
      <c r="U30" s="40">
        <f t="shared" si="11"/>
        <v>1200</v>
      </c>
      <c r="V30" s="43">
        <f t="shared" si="12"/>
        <v>1198.3125000000005</v>
      </c>
      <c r="W30" s="42">
        <f t="shared" si="13"/>
        <v>1198.3125000000005</v>
      </c>
      <c r="X30" s="7"/>
      <c r="Y30" s="7"/>
      <c r="Z30" s="7"/>
    </row>
    <row r="31" spans="1:26" ht="15.75" customHeight="1" x14ac:dyDescent="0.2">
      <c r="A31" s="17">
        <v>41953</v>
      </c>
      <c r="B31" s="18">
        <v>2</v>
      </c>
      <c r="C31" s="18" t="s">
        <v>17</v>
      </c>
      <c r="D31" s="19">
        <v>3750</v>
      </c>
      <c r="E31" s="44">
        <f t="shared" si="0"/>
        <v>4125</v>
      </c>
      <c r="F31" s="7">
        <f t="shared" si="1"/>
        <v>2</v>
      </c>
      <c r="G31" s="44">
        <f t="shared" si="2"/>
        <v>8250</v>
      </c>
      <c r="H31" s="44" t="str">
        <f t="shared" si="3"/>
        <v>2014-11-10-2-B</v>
      </c>
      <c r="I31" s="20">
        <f>VLOOKUP(H31,'Historical Shipments'!$D$2:$E$10000,2,FALSE)</f>
        <v>20874.5</v>
      </c>
      <c r="J31" s="20">
        <f t="shared" si="4"/>
        <v>22961.95</v>
      </c>
      <c r="K31" s="44">
        <f t="shared" si="5"/>
        <v>31211.95</v>
      </c>
      <c r="L31" s="40">
        <f t="array" ref="L31">INDEX('Carrier Rates'!$D$2:$D$1000, MATCH("X"&amp;"-"&amp;"B"&amp;"-"&amp;B31, 'Carrier Rates'!$E$2:$E$1000, 0))</f>
        <v>1200</v>
      </c>
      <c r="M31" s="45">
        <f t="array" ref="M31">INDEX('Carrier Rates'!$D$2:$D$1000, MATCH("Y"&amp;"-"&amp;"B"&amp;"-"&amp;B31, 'Carrier Rates'!$E$2:$E$1000, 0))</f>
        <v>0.06</v>
      </c>
      <c r="N31" s="40">
        <f t="shared" si="6"/>
        <v>1200</v>
      </c>
      <c r="O31" s="44">
        <f t="shared" si="7"/>
        <v>1872.7169999999999</v>
      </c>
      <c r="P31" s="44">
        <f t="shared" si="8"/>
        <v>1200</v>
      </c>
      <c r="Q31" s="7">
        <f t="shared" si="9"/>
        <v>0.82</v>
      </c>
      <c r="R31" s="44">
        <f t="shared" si="10"/>
        <v>3382.5</v>
      </c>
      <c r="S31" s="7"/>
      <c r="T31" s="7"/>
      <c r="U31" s="40">
        <f t="shared" si="11"/>
        <v>1200</v>
      </c>
      <c r="V31" s="43">
        <f t="shared" si="12"/>
        <v>1377.7170000000001</v>
      </c>
      <c r="W31" s="42">
        <f t="shared" si="13"/>
        <v>1200</v>
      </c>
      <c r="X31" s="7"/>
      <c r="Y31" s="7"/>
      <c r="Z31" s="7"/>
    </row>
    <row r="32" spans="1:26" ht="15.75" customHeight="1" x14ac:dyDescent="0.2">
      <c r="A32" s="17">
        <v>41960</v>
      </c>
      <c r="B32" s="18">
        <v>1</v>
      </c>
      <c r="C32" s="18" t="s">
        <v>17</v>
      </c>
      <c r="D32" s="19">
        <v>3560</v>
      </c>
      <c r="E32" s="44">
        <f t="shared" si="0"/>
        <v>3916.0000000000005</v>
      </c>
      <c r="F32" s="7">
        <f t="shared" si="1"/>
        <v>2</v>
      </c>
      <c r="G32" s="44">
        <f t="shared" si="2"/>
        <v>7832.0000000000009</v>
      </c>
      <c r="H32" s="44" t="str">
        <f t="shared" si="3"/>
        <v>2014-11-17-1-B</v>
      </c>
      <c r="I32" s="20">
        <f>VLOOKUP(H32,'Historical Shipments'!$D$2:$E$10000,2,FALSE)</f>
        <v>14923.400000000001</v>
      </c>
      <c r="J32" s="20">
        <f t="shared" si="4"/>
        <v>16415.740000000002</v>
      </c>
      <c r="K32" s="44">
        <f t="shared" si="5"/>
        <v>24247.74</v>
      </c>
      <c r="L32" s="40">
        <f t="array" ref="L32">INDEX('Carrier Rates'!$D$2:$D$1000, MATCH("X"&amp;"-"&amp;"B"&amp;"-"&amp;B32, 'Carrier Rates'!$E$2:$E$1000, 0))</f>
        <v>1200</v>
      </c>
      <c r="M32" s="45">
        <f t="array" ref="M32">INDEX('Carrier Rates'!$D$2:$D$1000, MATCH("Y"&amp;"-"&amp;"B"&amp;"-"&amp;B32, 'Carrier Rates'!$E$2:$E$1000, 0))</f>
        <v>7.0000000000000007E-2</v>
      </c>
      <c r="N32" s="40">
        <f t="shared" si="6"/>
        <v>1200</v>
      </c>
      <c r="O32" s="44">
        <f t="shared" si="7"/>
        <v>1697.3418000000004</v>
      </c>
      <c r="P32" s="44">
        <f t="shared" si="8"/>
        <v>1200</v>
      </c>
      <c r="Q32" s="7">
        <f t="shared" si="9"/>
        <v>0.82</v>
      </c>
      <c r="R32" s="44">
        <f t="shared" si="10"/>
        <v>3211.1200000000003</v>
      </c>
      <c r="S32" s="7"/>
      <c r="T32" s="7"/>
      <c r="U32" s="40">
        <f t="shared" si="11"/>
        <v>1200</v>
      </c>
      <c r="V32" s="43">
        <f t="shared" si="12"/>
        <v>1149.1018000000001</v>
      </c>
      <c r="W32" s="42">
        <f t="shared" si="13"/>
        <v>1149.1018000000001</v>
      </c>
      <c r="X32" s="7"/>
      <c r="Y32" s="7"/>
      <c r="Z32" s="7"/>
    </row>
    <row r="33" spans="1:26" ht="15.75" customHeight="1" x14ac:dyDescent="0.2">
      <c r="A33" s="17">
        <v>41960</v>
      </c>
      <c r="B33" s="18">
        <v>2</v>
      </c>
      <c r="C33" s="18" t="s">
        <v>17</v>
      </c>
      <c r="D33" s="19">
        <v>2293</v>
      </c>
      <c r="E33" s="44">
        <f t="shared" si="0"/>
        <v>2522.3000000000002</v>
      </c>
      <c r="F33" s="7">
        <f t="shared" si="1"/>
        <v>2</v>
      </c>
      <c r="G33" s="44">
        <f t="shared" si="2"/>
        <v>5044.6000000000004</v>
      </c>
      <c r="H33" s="44" t="str">
        <f t="shared" si="3"/>
        <v>2014-11-17-2-B</v>
      </c>
      <c r="I33" s="20">
        <f>VLOOKUP(H33,'Historical Shipments'!$D$2:$E$10000,2,FALSE)</f>
        <v>14989.800000000001</v>
      </c>
      <c r="J33" s="20">
        <f t="shared" si="4"/>
        <v>16488.780000000002</v>
      </c>
      <c r="K33" s="44">
        <f t="shared" si="5"/>
        <v>21533.380000000005</v>
      </c>
      <c r="L33" s="40">
        <f t="array" ref="L33">INDEX('Carrier Rates'!$D$2:$D$1000, MATCH("X"&amp;"-"&amp;"B"&amp;"-"&amp;B33, 'Carrier Rates'!$E$2:$E$1000, 0))</f>
        <v>1200</v>
      </c>
      <c r="M33" s="45">
        <f t="array" ref="M33">INDEX('Carrier Rates'!$D$2:$D$1000, MATCH("Y"&amp;"-"&amp;"B"&amp;"-"&amp;B33, 'Carrier Rates'!$E$2:$E$1000, 0))</f>
        <v>0.06</v>
      </c>
      <c r="N33" s="40">
        <f t="shared" si="6"/>
        <v>1200</v>
      </c>
      <c r="O33" s="44">
        <f t="shared" si="7"/>
        <v>1292.0028000000002</v>
      </c>
      <c r="P33" s="44">
        <f t="shared" si="8"/>
        <v>1200</v>
      </c>
      <c r="Q33" s="7">
        <f t="shared" si="9"/>
        <v>0.82</v>
      </c>
      <c r="R33" s="44">
        <f t="shared" si="10"/>
        <v>2068.2860000000001</v>
      </c>
      <c r="S33" s="7"/>
      <c r="T33" s="7"/>
      <c r="U33" s="40">
        <f t="shared" si="11"/>
        <v>1200</v>
      </c>
      <c r="V33" s="43">
        <f t="shared" si="12"/>
        <v>989.32680000000016</v>
      </c>
      <c r="W33" s="42">
        <f t="shared" si="13"/>
        <v>989.32680000000016</v>
      </c>
      <c r="X33" s="7"/>
      <c r="Y33" s="7"/>
      <c r="Z33" s="7"/>
    </row>
    <row r="34" spans="1:26" ht="15.75" customHeight="1" x14ac:dyDescent="0.2">
      <c r="A34" s="17">
        <v>41967</v>
      </c>
      <c r="B34" s="18">
        <v>1</v>
      </c>
      <c r="C34" s="18" t="s">
        <v>17</v>
      </c>
      <c r="D34" s="19">
        <v>4329</v>
      </c>
      <c r="E34" s="44">
        <f t="shared" si="0"/>
        <v>4761.9000000000005</v>
      </c>
      <c r="F34" s="7">
        <f t="shared" si="1"/>
        <v>2</v>
      </c>
      <c r="G34" s="44">
        <f t="shared" si="2"/>
        <v>9523.8000000000011</v>
      </c>
      <c r="H34" s="44" t="str">
        <f t="shared" si="3"/>
        <v>2014-11-24-1-B</v>
      </c>
      <c r="I34" s="20">
        <f>VLOOKUP(H34,'Historical Shipments'!$D$2:$E$10000,2,FALSE)</f>
        <v>15994.100000000002</v>
      </c>
      <c r="J34" s="20">
        <f t="shared" si="4"/>
        <v>17593.510000000002</v>
      </c>
      <c r="K34" s="44">
        <f t="shared" si="5"/>
        <v>27117.310000000005</v>
      </c>
      <c r="L34" s="40">
        <f t="array" ref="L34">INDEX('Carrier Rates'!$D$2:$D$1000, MATCH("X"&amp;"-"&amp;"B"&amp;"-"&amp;B34, 'Carrier Rates'!$E$2:$E$1000, 0))</f>
        <v>1200</v>
      </c>
      <c r="M34" s="45">
        <f t="array" ref="M34">INDEX('Carrier Rates'!$D$2:$D$1000, MATCH("Y"&amp;"-"&amp;"B"&amp;"-"&amp;B34, 'Carrier Rates'!$E$2:$E$1000, 0))</f>
        <v>7.0000000000000007E-2</v>
      </c>
      <c r="N34" s="40">
        <f t="shared" si="6"/>
        <v>1200</v>
      </c>
      <c r="O34" s="44">
        <f t="shared" si="7"/>
        <v>1898.2117000000005</v>
      </c>
      <c r="P34" s="44">
        <f t="shared" si="8"/>
        <v>1200</v>
      </c>
      <c r="Q34" s="7">
        <f t="shared" si="9"/>
        <v>0.82</v>
      </c>
      <c r="R34" s="44">
        <f t="shared" si="10"/>
        <v>3904.7580000000003</v>
      </c>
      <c r="S34" s="7"/>
      <c r="T34" s="7"/>
      <c r="U34" s="40">
        <f t="shared" si="11"/>
        <v>1200</v>
      </c>
      <c r="V34" s="43">
        <f t="shared" si="12"/>
        <v>1231.5457000000004</v>
      </c>
      <c r="W34" s="42">
        <f t="shared" si="13"/>
        <v>1200</v>
      </c>
      <c r="X34" s="7"/>
      <c r="Y34" s="7"/>
      <c r="Z34" s="7"/>
    </row>
    <row r="35" spans="1:26" ht="15.75" customHeight="1" x14ac:dyDescent="0.2">
      <c r="A35" s="17">
        <v>41967</v>
      </c>
      <c r="B35" s="18">
        <v>2</v>
      </c>
      <c r="C35" s="18" t="s">
        <v>17</v>
      </c>
      <c r="D35" s="19">
        <v>3295</v>
      </c>
      <c r="E35" s="44">
        <f t="shared" si="0"/>
        <v>3624.5000000000005</v>
      </c>
      <c r="F35" s="7">
        <f t="shared" si="1"/>
        <v>2</v>
      </c>
      <c r="G35" s="44">
        <f t="shared" si="2"/>
        <v>7249.0000000000009</v>
      </c>
      <c r="H35" s="44" t="str">
        <f t="shared" si="3"/>
        <v>2014-11-24-2-B</v>
      </c>
      <c r="I35" s="20">
        <f>VLOOKUP(H35,'Historical Shipments'!$D$2:$E$10000,2,FALSE)</f>
        <v>16600</v>
      </c>
      <c r="J35" s="20">
        <f t="shared" si="4"/>
        <v>18260</v>
      </c>
      <c r="K35" s="44">
        <f t="shared" si="5"/>
        <v>25509</v>
      </c>
      <c r="L35" s="40">
        <f t="array" ref="L35">INDEX('Carrier Rates'!$D$2:$D$1000, MATCH("X"&amp;"-"&amp;"B"&amp;"-"&amp;B35, 'Carrier Rates'!$E$2:$E$1000, 0))</f>
        <v>1200</v>
      </c>
      <c r="M35" s="45">
        <f t="array" ref="M35">INDEX('Carrier Rates'!$D$2:$D$1000, MATCH("Y"&amp;"-"&amp;"B"&amp;"-"&amp;B35, 'Carrier Rates'!$E$2:$E$1000, 0))</f>
        <v>0.06</v>
      </c>
      <c r="N35" s="40">
        <f t="shared" si="6"/>
        <v>1200</v>
      </c>
      <c r="O35" s="44">
        <f t="shared" si="7"/>
        <v>1530.54</v>
      </c>
      <c r="P35" s="44">
        <f t="shared" si="8"/>
        <v>1200</v>
      </c>
      <c r="Q35" s="7">
        <f t="shared" si="9"/>
        <v>0.82</v>
      </c>
      <c r="R35" s="44">
        <f t="shared" si="10"/>
        <v>2972.09</v>
      </c>
      <c r="S35" s="7"/>
      <c r="T35" s="7"/>
      <c r="U35" s="40">
        <f t="shared" si="11"/>
        <v>1200</v>
      </c>
      <c r="V35" s="43">
        <f t="shared" si="12"/>
        <v>1095.5999999999999</v>
      </c>
      <c r="W35" s="42">
        <f t="shared" si="13"/>
        <v>1095.5999999999999</v>
      </c>
      <c r="X35" s="7"/>
      <c r="Y35" s="7"/>
      <c r="Z35" s="7"/>
    </row>
    <row r="36" spans="1:26" ht="15.75" customHeight="1" x14ac:dyDescent="0.2">
      <c r="A36" s="17">
        <v>41974</v>
      </c>
      <c r="B36" s="18">
        <v>1</v>
      </c>
      <c r="C36" s="18" t="s">
        <v>17</v>
      </c>
      <c r="D36" s="19">
        <v>4937</v>
      </c>
      <c r="E36" s="44">
        <f t="shared" si="0"/>
        <v>5430.7000000000007</v>
      </c>
      <c r="F36" s="7">
        <f t="shared" si="1"/>
        <v>2</v>
      </c>
      <c r="G36" s="44">
        <f t="shared" si="2"/>
        <v>10861.400000000001</v>
      </c>
      <c r="H36" s="44" t="str">
        <f t="shared" si="3"/>
        <v>2014-12-01-1-B</v>
      </c>
      <c r="I36" s="20">
        <f>VLOOKUP(H36,'Historical Shipments'!$D$2:$E$10000,2,FALSE)</f>
        <v>15886.2</v>
      </c>
      <c r="J36" s="20">
        <f t="shared" si="4"/>
        <v>17474.820000000003</v>
      </c>
      <c r="K36" s="44">
        <f t="shared" si="5"/>
        <v>28336.220000000005</v>
      </c>
      <c r="L36" s="40">
        <f t="array" ref="L36">INDEX('Carrier Rates'!$D$2:$D$1000, MATCH("X"&amp;"-"&amp;"B"&amp;"-"&amp;B36, 'Carrier Rates'!$E$2:$E$1000, 0))</f>
        <v>1200</v>
      </c>
      <c r="M36" s="45">
        <f t="array" ref="M36">INDEX('Carrier Rates'!$D$2:$D$1000, MATCH("Y"&amp;"-"&amp;"B"&amp;"-"&amp;B36, 'Carrier Rates'!$E$2:$E$1000, 0))</f>
        <v>7.0000000000000007E-2</v>
      </c>
      <c r="N36" s="40">
        <f t="shared" si="6"/>
        <v>1200</v>
      </c>
      <c r="O36" s="44">
        <f t="shared" si="7"/>
        <v>1983.5354000000004</v>
      </c>
      <c r="P36" s="44">
        <f t="shared" si="8"/>
        <v>1200</v>
      </c>
      <c r="Q36" s="7">
        <f t="shared" si="9"/>
        <v>0.82</v>
      </c>
      <c r="R36" s="44">
        <f t="shared" si="10"/>
        <v>4453.174</v>
      </c>
      <c r="S36" s="7"/>
      <c r="T36" s="7"/>
      <c r="U36" s="40">
        <f t="shared" si="11"/>
        <v>1200</v>
      </c>
      <c r="V36" s="43">
        <f t="shared" si="12"/>
        <v>1223.2374000000004</v>
      </c>
      <c r="W36" s="42">
        <f t="shared" si="13"/>
        <v>1200</v>
      </c>
      <c r="X36" s="7"/>
      <c r="Y36" s="7"/>
      <c r="Z36" s="7"/>
    </row>
    <row r="37" spans="1:26" ht="15.75" customHeight="1" x14ac:dyDescent="0.2">
      <c r="A37" s="17">
        <v>41974</v>
      </c>
      <c r="B37" s="18">
        <v>2</v>
      </c>
      <c r="C37" s="18" t="s">
        <v>17</v>
      </c>
      <c r="D37" s="19">
        <v>4132</v>
      </c>
      <c r="E37" s="44">
        <f t="shared" si="0"/>
        <v>4545.2000000000007</v>
      </c>
      <c r="F37" s="7">
        <f t="shared" si="1"/>
        <v>2</v>
      </c>
      <c r="G37" s="44">
        <f t="shared" si="2"/>
        <v>9090.4000000000015</v>
      </c>
      <c r="H37" s="44" t="str">
        <f t="shared" si="3"/>
        <v>2014-12-01-2-B</v>
      </c>
      <c r="I37" s="20">
        <f>VLOOKUP(H37,'Historical Shipments'!$D$2:$E$10000,2,FALSE)</f>
        <v>18907.400000000001</v>
      </c>
      <c r="J37" s="20">
        <f t="shared" si="4"/>
        <v>20798.140000000003</v>
      </c>
      <c r="K37" s="44">
        <f t="shared" si="5"/>
        <v>29888.540000000005</v>
      </c>
      <c r="L37" s="40">
        <f t="array" ref="L37">INDEX('Carrier Rates'!$D$2:$D$1000, MATCH("X"&amp;"-"&amp;"B"&amp;"-"&amp;B37, 'Carrier Rates'!$E$2:$E$1000, 0))</f>
        <v>1200</v>
      </c>
      <c r="M37" s="45">
        <f t="array" ref="M37">INDEX('Carrier Rates'!$D$2:$D$1000, MATCH("Y"&amp;"-"&amp;"B"&amp;"-"&amp;B37, 'Carrier Rates'!$E$2:$E$1000, 0))</f>
        <v>0.06</v>
      </c>
      <c r="N37" s="40">
        <f t="shared" si="6"/>
        <v>1200</v>
      </c>
      <c r="O37" s="44">
        <f t="shared" si="7"/>
        <v>1793.3124000000003</v>
      </c>
      <c r="P37" s="44">
        <f t="shared" si="8"/>
        <v>1200</v>
      </c>
      <c r="Q37" s="7">
        <f t="shared" si="9"/>
        <v>0.82</v>
      </c>
      <c r="R37" s="44">
        <f t="shared" si="10"/>
        <v>3727.0640000000003</v>
      </c>
      <c r="S37" s="7"/>
      <c r="T37" s="7"/>
      <c r="U37" s="40">
        <f t="shared" si="11"/>
        <v>1200</v>
      </c>
      <c r="V37" s="43">
        <f t="shared" si="12"/>
        <v>1247.8884</v>
      </c>
      <c r="W37" s="42">
        <f t="shared" si="13"/>
        <v>1200</v>
      </c>
      <c r="X37" s="7"/>
      <c r="Y37" s="7"/>
      <c r="Z37" s="7"/>
    </row>
    <row r="38" spans="1:26" ht="15.75" customHeight="1" x14ac:dyDescent="0.2">
      <c r="A38" s="17">
        <v>41981</v>
      </c>
      <c r="B38" s="18">
        <v>1</v>
      </c>
      <c r="C38" s="18" t="s">
        <v>17</v>
      </c>
      <c r="D38" s="19">
        <v>4361</v>
      </c>
      <c r="E38" s="44">
        <f t="shared" si="0"/>
        <v>4797.1000000000004</v>
      </c>
      <c r="F38" s="7">
        <f t="shared" si="1"/>
        <v>2</v>
      </c>
      <c r="G38" s="44">
        <f t="shared" si="2"/>
        <v>9594.2000000000007</v>
      </c>
      <c r="H38" s="44" t="str">
        <f t="shared" si="3"/>
        <v>2014-12-08-1-B</v>
      </c>
      <c r="I38" s="20">
        <f>VLOOKUP(H38,'Historical Shipments'!$D$2:$E$10000,2,FALSE)</f>
        <v>14823.800000000001</v>
      </c>
      <c r="J38" s="20">
        <f t="shared" si="4"/>
        <v>16306.180000000002</v>
      </c>
      <c r="K38" s="44">
        <f t="shared" si="5"/>
        <v>25900.380000000005</v>
      </c>
      <c r="L38" s="40">
        <f t="array" ref="L38">INDEX('Carrier Rates'!$D$2:$D$1000, MATCH("X"&amp;"-"&amp;"B"&amp;"-"&amp;B38, 'Carrier Rates'!$E$2:$E$1000, 0))</f>
        <v>1200</v>
      </c>
      <c r="M38" s="45">
        <f t="array" ref="M38">INDEX('Carrier Rates'!$D$2:$D$1000, MATCH("Y"&amp;"-"&amp;"B"&amp;"-"&amp;B38, 'Carrier Rates'!$E$2:$E$1000, 0))</f>
        <v>7.0000000000000007E-2</v>
      </c>
      <c r="N38" s="40">
        <f t="shared" si="6"/>
        <v>1200</v>
      </c>
      <c r="O38" s="44">
        <f t="shared" si="7"/>
        <v>1813.0266000000006</v>
      </c>
      <c r="P38" s="44">
        <f t="shared" si="8"/>
        <v>1200</v>
      </c>
      <c r="Q38" s="7">
        <f t="shared" si="9"/>
        <v>0.82</v>
      </c>
      <c r="R38" s="44">
        <f t="shared" si="10"/>
        <v>3933.6219999999998</v>
      </c>
      <c r="S38" s="7"/>
      <c r="T38" s="7"/>
      <c r="U38" s="40">
        <f t="shared" si="11"/>
        <v>1200</v>
      </c>
      <c r="V38" s="43">
        <f t="shared" si="12"/>
        <v>1141.4326000000003</v>
      </c>
      <c r="W38" s="42">
        <f t="shared" si="13"/>
        <v>1141.4326000000003</v>
      </c>
      <c r="X38" s="7"/>
      <c r="Y38" s="7"/>
      <c r="Z38" s="7"/>
    </row>
    <row r="39" spans="1:26" ht="15.75" customHeight="1" x14ac:dyDescent="0.2">
      <c r="A39" s="17">
        <v>41981</v>
      </c>
      <c r="B39" s="18">
        <v>2</v>
      </c>
      <c r="C39" s="18" t="s">
        <v>17</v>
      </c>
      <c r="D39" s="19">
        <v>3325</v>
      </c>
      <c r="E39" s="44">
        <f t="shared" si="0"/>
        <v>3657.5000000000005</v>
      </c>
      <c r="F39" s="7">
        <f t="shared" si="1"/>
        <v>2</v>
      </c>
      <c r="G39" s="44">
        <f t="shared" si="2"/>
        <v>7315.0000000000009</v>
      </c>
      <c r="H39" s="44" t="str">
        <f t="shared" si="3"/>
        <v>2014-12-08-2-B</v>
      </c>
      <c r="I39" s="20">
        <f>VLOOKUP(H39,'Historical Shipments'!$D$2:$E$10000,2,FALSE)</f>
        <v>19803.800000000003</v>
      </c>
      <c r="J39" s="20">
        <f t="shared" si="4"/>
        <v>21784.180000000004</v>
      </c>
      <c r="K39" s="44">
        <f t="shared" si="5"/>
        <v>29099.180000000004</v>
      </c>
      <c r="L39" s="40">
        <f t="array" ref="L39">INDEX('Carrier Rates'!$D$2:$D$1000, MATCH("X"&amp;"-"&amp;"B"&amp;"-"&amp;B39, 'Carrier Rates'!$E$2:$E$1000, 0))</f>
        <v>1200</v>
      </c>
      <c r="M39" s="45">
        <f t="array" ref="M39">INDEX('Carrier Rates'!$D$2:$D$1000, MATCH("Y"&amp;"-"&amp;"B"&amp;"-"&amp;B39, 'Carrier Rates'!$E$2:$E$1000, 0))</f>
        <v>0.06</v>
      </c>
      <c r="N39" s="40">
        <f t="shared" si="6"/>
        <v>1200</v>
      </c>
      <c r="O39" s="44">
        <f t="shared" si="7"/>
        <v>1745.9508000000001</v>
      </c>
      <c r="P39" s="44">
        <f t="shared" si="8"/>
        <v>1200</v>
      </c>
      <c r="Q39" s="7">
        <f t="shared" si="9"/>
        <v>0.82</v>
      </c>
      <c r="R39" s="44">
        <f t="shared" si="10"/>
        <v>2999.15</v>
      </c>
      <c r="S39" s="7"/>
      <c r="T39" s="7"/>
      <c r="U39" s="40">
        <f t="shared" si="11"/>
        <v>1200</v>
      </c>
      <c r="V39" s="43">
        <f t="shared" si="12"/>
        <v>1307.0508000000002</v>
      </c>
      <c r="W39" s="42">
        <f t="shared" si="13"/>
        <v>1200</v>
      </c>
      <c r="X39" s="7"/>
      <c r="Y39" s="7"/>
      <c r="Z39" s="7"/>
    </row>
    <row r="40" spans="1:26" ht="15.75" customHeight="1" x14ac:dyDescent="0.2">
      <c r="A40" s="17">
        <v>41988</v>
      </c>
      <c r="B40" s="18">
        <v>1</v>
      </c>
      <c r="C40" s="18" t="s">
        <v>17</v>
      </c>
      <c r="D40" s="19">
        <v>4569</v>
      </c>
      <c r="E40" s="44">
        <f t="shared" si="0"/>
        <v>5025.9000000000005</v>
      </c>
      <c r="F40" s="7">
        <f t="shared" si="1"/>
        <v>2</v>
      </c>
      <c r="G40" s="44">
        <f t="shared" si="2"/>
        <v>10051.800000000001</v>
      </c>
      <c r="H40" s="44" t="str">
        <f t="shared" si="3"/>
        <v>2014-12-15-1-B</v>
      </c>
      <c r="I40" s="20">
        <f>VLOOKUP(H40,'Historical Shipments'!$D$2:$E$10000,2,FALSE)</f>
        <v>17064.800000000003</v>
      </c>
      <c r="J40" s="20">
        <f t="shared" si="4"/>
        <v>18771.280000000006</v>
      </c>
      <c r="K40" s="44">
        <f t="shared" si="5"/>
        <v>28823.080000000009</v>
      </c>
      <c r="L40" s="40">
        <f t="array" ref="L40">INDEX('Carrier Rates'!$D$2:$D$1000, MATCH("X"&amp;"-"&amp;"B"&amp;"-"&amp;B40, 'Carrier Rates'!$E$2:$E$1000, 0))</f>
        <v>1200</v>
      </c>
      <c r="M40" s="45">
        <f t="array" ref="M40">INDEX('Carrier Rates'!$D$2:$D$1000, MATCH("Y"&amp;"-"&amp;"B"&amp;"-"&amp;B40, 'Carrier Rates'!$E$2:$E$1000, 0))</f>
        <v>7.0000000000000007E-2</v>
      </c>
      <c r="N40" s="40">
        <f t="shared" si="6"/>
        <v>1200</v>
      </c>
      <c r="O40" s="44">
        <f t="shared" si="7"/>
        <v>2017.6156000000008</v>
      </c>
      <c r="P40" s="44">
        <f t="shared" si="8"/>
        <v>1200</v>
      </c>
      <c r="Q40" s="7">
        <f t="shared" si="9"/>
        <v>0.82</v>
      </c>
      <c r="R40" s="44">
        <f t="shared" si="10"/>
        <v>4121.2380000000003</v>
      </c>
      <c r="S40" s="7"/>
      <c r="T40" s="7"/>
      <c r="U40" s="40">
        <f t="shared" si="11"/>
        <v>1200</v>
      </c>
      <c r="V40" s="43">
        <f t="shared" si="12"/>
        <v>1313.9896000000006</v>
      </c>
      <c r="W40" s="42">
        <f t="shared" si="13"/>
        <v>1200</v>
      </c>
      <c r="X40" s="7"/>
      <c r="Y40" s="7"/>
      <c r="Z40" s="7"/>
    </row>
    <row r="41" spans="1:26" ht="15.75" customHeight="1" x14ac:dyDescent="0.2">
      <c r="A41" s="17">
        <v>41988</v>
      </c>
      <c r="B41" s="18">
        <v>2</v>
      </c>
      <c r="C41" s="18" t="s">
        <v>17</v>
      </c>
      <c r="D41" s="19">
        <v>3508</v>
      </c>
      <c r="E41" s="44">
        <f t="shared" si="0"/>
        <v>3858.8</v>
      </c>
      <c r="F41" s="7">
        <f t="shared" si="1"/>
        <v>2</v>
      </c>
      <c r="G41" s="44">
        <f t="shared" si="2"/>
        <v>7717.6</v>
      </c>
      <c r="H41" s="44" t="str">
        <f t="shared" si="3"/>
        <v>2014-12-15-2-B</v>
      </c>
      <c r="I41" s="20">
        <f>VLOOKUP(H41,'Historical Shipments'!$D$2:$E$10000,2,FALSE)</f>
        <v>18185.300000000003</v>
      </c>
      <c r="J41" s="20">
        <f t="shared" si="4"/>
        <v>20003.830000000005</v>
      </c>
      <c r="K41" s="44">
        <f t="shared" si="5"/>
        <v>27721.430000000008</v>
      </c>
      <c r="L41" s="40">
        <f t="array" ref="L41">INDEX('Carrier Rates'!$D$2:$D$1000, MATCH("X"&amp;"-"&amp;"B"&amp;"-"&amp;B41, 'Carrier Rates'!$E$2:$E$1000, 0))</f>
        <v>1200</v>
      </c>
      <c r="M41" s="45">
        <f t="array" ref="M41">INDEX('Carrier Rates'!$D$2:$D$1000, MATCH("Y"&amp;"-"&amp;"B"&amp;"-"&amp;B41, 'Carrier Rates'!$E$2:$E$1000, 0))</f>
        <v>0.06</v>
      </c>
      <c r="N41" s="40">
        <f t="shared" si="6"/>
        <v>1200</v>
      </c>
      <c r="O41" s="44">
        <f t="shared" si="7"/>
        <v>1663.2858000000003</v>
      </c>
      <c r="P41" s="44">
        <f t="shared" si="8"/>
        <v>1200</v>
      </c>
      <c r="Q41" s="7">
        <f t="shared" si="9"/>
        <v>0.82</v>
      </c>
      <c r="R41" s="44">
        <f t="shared" si="10"/>
        <v>3164.2159999999999</v>
      </c>
      <c r="S41" s="7"/>
      <c r="T41" s="7"/>
      <c r="U41" s="40">
        <f t="shared" si="11"/>
        <v>1200</v>
      </c>
      <c r="V41" s="43">
        <f t="shared" si="12"/>
        <v>1200.2298000000003</v>
      </c>
      <c r="W41" s="42">
        <f t="shared" si="13"/>
        <v>1200</v>
      </c>
      <c r="X41" s="7"/>
      <c r="Y41" s="7"/>
      <c r="Z41" s="7"/>
    </row>
    <row r="42" spans="1:26" ht="15.75" customHeight="1" x14ac:dyDescent="0.2">
      <c r="A42" s="17">
        <v>41995</v>
      </c>
      <c r="B42" s="18">
        <v>1</v>
      </c>
      <c r="C42" s="18" t="s">
        <v>17</v>
      </c>
      <c r="D42" s="19">
        <v>4301</v>
      </c>
      <c r="E42" s="44">
        <f t="shared" si="0"/>
        <v>4731.1000000000004</v>
      </c>
      <c r="F42" s="7">
        <f t="shared" si="1"/>
        <v>2</v>
      </c>
      <c r="G42" s="44">
        <f t="shared" si="2"/>
        <v>9462.2000000000007</v>
      </c>
      <c r="H42" s="44" t="str">
        <f t="shared" si="3"/>
        <v>2014-12-22-1-B</v>
      </c>
      <c r="I42" s="20">
        <f>VLOOKUP(H42,'Historical Shipments'!$D$2:$E$10000,2,FALSE)</f>
        <v>17579.400000000001</v>
      </c>
      <c r="J42" s="20">
        <f t="shared" si="4"/>
        <v>19337.340000000004</v>
      </c>
      <c r="K42" s="44">
        <f t="shared" si="5"/>
        <v>28799.540000000005</v>
      </c>
      <c r="L42" s="40">
        <f t="array" ref="L42">INDEX('Carrier Rates'!$D$2:$D$1000, MATCH("X"&amp;"-"&amp;"B"&amp;"-"&amp;B42, 'Carrier Rates'!$E$2:$E$1000, 0))</f>
        <v>1200</v>
      </c>
      <c r="M42" s="45">
        <f t="array" ref="M42">INDEX('Carrier Rates'!$D$2:$D$1000, MATCH("Y"&amp;"-"&amp;"B"&amp;"-"&amp;B42, 'Carrier Rates'!$E$2:$E$1000, 0))</f>
        <v>7.0000000000000007E-2</v>
      </c>
      <c r="N42" s="40">
        <f t="shared" si="6"/>
        <v>1200</v>
      </c>
      <c r="O42" s="44">
        <f t="shared" si="7"/>
        <v>2015.9678000000006</v>
      </c>
      <c r="P42" s="44">
        <f t="shared" si="8"/>
        <v>1200</v>
      </c>
      <c r="Q42" s="7">
        <f t="shared" si="9"/>
        <v>0.82</v>
      </c>
      <c r="R42" s="44">
        <f t="shared" si="10"/>
        <v>3879.502</v>
      </c>
      <c r="S42" s="7"/>
      <c r="T42" s="7"/>
      <c r="U42" s="40">
        <f t="shared" si="11"/>
        <v>1200</v>
      </c>
      <c r="V42" s="43">
        <f t="shared" si="12"/>
        <v>1353.6138000000003</v>
      </c>
      <c r="W42" s="42">
        <f t="shared" si="13"/>
        <v>1200</v>
      </c>
      <c r="X42" s="7"/>
      <c r="Y42" s="7"/>
      <c r="Z42" s="7"/>
    </row>
    <row r="43" spans="1:26" ht="15.75" customHeight="1" x14ac:dyDescent="0.2">
      <c r="A43" s="17">
        <v>41995</v>
      </c>
      <c r="B43" s="18">
        <v>2</v>
      </c>
      <c r="C43" s="18" t="s">
        <v>17</v>
      </c>
      <c r="D43" s="19">
        <v>3558</v>
      </c>
      <c r="E43" s="44">
        <f t="shared" si="0"/>
        <v>3913.8</v>
      </c>
      <c r="F43" s="7">
        <f t="shared" si="1"/>
        <v>2</v>
      </c>
      <c r="G43" s="44">
        <f t="shared" si="2"/>
        <v>7827.6</v>
      </c>
      <c r="H43" s="44" t="str">
        <f t="shared" si="3"/>
        <v>2014-12-22-2-B</v>
      </c>
      <c r="I43" s="20">
        <f>VLOOKUP(H43,'Historical Shipments'!$D$2:$E$10000,2,FALSE)</f>
        <v>21430.600000000002</v>
      </c>
      <c r="J43" s="20">
        <f t="shared" si="4"/>
        <v>23573.660000000003</v>
      </c>
      <c r="K43" s="44">
        <f t="shared" si="5"/>
        <v>31401.260000000002</v>
      </c>
      <c r="L43" s="40">
        <f t="array" ref="L43">INDEX('Carrier Rates'!$D$2:$D$1000, MATCH("X"&amp;"-"&amp;"B"&amp;"-"&amp;B43, 'Carrier Rates'!$E$2:$E$1000, 0))</f>
        <v>1200</v>
      </c>
      <c r="M43" s="45">
        <f t="array" ref="M43">INDEX('Carrier Rates'!$D$2:$D$1000, MATCH("Y"&amp;"-"&amp;"B"&amp;"-"&amp;B43, 'Carrier Rates'!$E$2:$E$1000, 0))</f>
        <v>0.06</v>
      </c>
      <c r="N43" s="40">
        <f t="shared" si="6"/>
        <v>1200</v>
      </c>
      <c r="O43" s="44">
        <f t="shared" si="7"/>
        <v>1884.0756000000001</v>
      </c>
      <c r="P43" s="44">
        <f t="shared" si="8"/>
        <v>1200</v>
      </c>
      <c r="Q43" s="7">
        <f t="shared" si="9"/>
        <v>0.82</v>
      </c>
      <c r="R43" s="44">
        <f t="shared" si="10"/>
        <v>3209.3159999999998</v>
      </c>
      <c r="S43" s="7"/>
      <c r="T43" s="7"/>
      <c r="U43" s="40">
        <f t="shared" si="11"/>
        <v>1200</v>
      </c>
      <c r="V43" s="43">
        <f t="shared" si="12"/>
        <v>1414.4196000000002</v>
      </c>
      <c r="W43" s="42">
        <f t="shared" si="13"/>
        <v>1200</v>
      </c>
      <c r="X43" s="7"/>
      <c r="Y43" s="7"/>
      <c r="Z43" s="7"/>
    </row>
    <row r="44" spans="1:26" ht="15.75" customHeight="1" x14ac:dyDescent="0.2">
      <c r="A44" s="17">
        <v>42002</v>
      </c>
      <c r="B44" s="18">
        <v>1</v>
      </c>
      <c r="C44" s="18" t="s">
        <v>17</v>
      </c>
      <c r="D44" s="19">
        <v>5106</v>
      </c>
      <c r="E44" s="44">
        <f t="shared" si="0"/>
        <v>5616.6</v>
      </c>
      <c r="F44" s="7">
        <f t="shared" si="1"/>
        <v>2</v>
      </c>
      <c r="G44" s="44">
        <f t="shared" si="2"/>
        <v>11233.2</v>
      </c>
      <c r="H44" s="44" t="str">
        <f t="shared" si="3"/>
        <v>2014-12-29-1-B</v>
      </c>
      <c r="I44" s="20">
        <f>VLOOKUP(H44,'Historical Shipments'!$D$2:$E$10000,2,FALSE)</f>
        <v>17446.600000000002</v>
      </c>
      <c r="J44" s="20">
        <f t="shared" si="4"/>
        <v>19191.260000000006</v>
      </c>
      <c r="K44" s="44">
        <f t="shared" si="5"/>
        <v>30424.460000000006</v>
      </c>
      <c r="L44" s="40">
        <f t="array" ref="L44">INDEX('Carrier Rates'!$D$2:$D$1000, MATCH("X"&amp;"-"&amp;"B"&amp;"-"&amp;B44, 'Carrier Rates'!$E$2:$E$1000, 0))</f>
        <v>1200</v>
      </c>
      <c r="M44" s="45">
        <f t="array" ref="M44">INDEX('Carrier Rates'!$D$2:$D$1000, MATCH("Y"&amp;"-"&amp;"B"&amp;"-"&amp;B44, 'Carrier Rates'!$E$2:$E$1000, 0))</f>
        <v>7.0000000000000007E-2</v>
      </c>
      <c r="N44" s="40">
        <f t="shared" si="6"/>
        <v>1200</v>
      </c>
      <c r="O44" s="44">
        <f t="shared" si="7"/>
        <v>2129.7122000000008</v>
      </c>
      <c r="P44" s="44">
        <f t="shared" si="8"/>
        <v>1200</v>
      </c>
      <c r="Q44" s="7">
        <f t="shared" si="9"/>
        <v>0.82</v>
      </c>
      <c r="R44" s="44">
        <f t="shared" si="10"/>
        <v>4605.6120000000001</v>
      </c>
      <c r="S44" s="7"/>
      <c r="T44" s="7"/>
      <c r="U44" s="40">
        <f t="shared" si="11"/>
        <v>1200</v>
      </c>
      <c r="V44" s="43">
        <f t="shared" si="12"/>
        <v>1343.3882000000006</v>
      </c>
      <c r="W44" s="42">
        <f t="shared" si="13"/>
        <v>1200</v>
      </c>
      <c r="X44" s="7"/>
      <c r="Y44" s="7"/>
      <c r="Z44" s="7"/>
    </row>
    <row r="45" spans="1:26" ht="15.75" customHeight="1" x14ac:dyDescent="0.2">
      <c r="A45" s="17">
        <v>42002</v>
      </c>
      <c r="B45" s="18">
        <v>2</v>
      </c>
      <c r="C45" s="18" t="s">
        <v>17</v>
      </c>
      <c r="D45" s="19">
        <v>4294</v>
      </c>
      <c r="E45" s="44">
        <f t="shared" si="0"/>
        <v>4723.4000000000005</v>
      </c>
      <c r="F45" s="7">
        <f t="shared" si="1"/>
        <v>2</v>
      </c>
      <c r="G45" s="44">
        <f t="shared" si="2"/>
        <v>9446.8000000000011</v>
      </c>
      <c r="H45" s="44" t="str">
        <f t="shared" si="3"/>
        <v>2014-12-29-2-B</v>
      </c>
      <c r="I45" s="20">
        <f>VLOOKUP(H45,'Historical Shipments'!$D$2:$E$10000,2,FALSE)</f>
        <v>23696.500000000004</v>
      </c>
      <c r="J45" s="20">
        <f t="shared" si="4"/>
        <v>26066.150000000005</v>
      </c>
      <c r="K45" s="44">
        <f t="shared" si="5"/>
        <v>35512.950000000004</v>
      </c>
      <c r="L45" s="40">
        <f t="array" ref="L45">INDEX('Carrier Rates'!$D$2:$D$1000, MATCH("X"&amp;"-"&amp;"B"&amp;"-"&amp;B45, 'Carrier Rates'!$E$2:$E$1000, 0))</f>
        <v>1200</v>
      </c>
      <c r="M45" s="45">
        <f t="array" ref="M45">INDEX('Carrier Rates'!$D$2:$D$1000, MATCH("Y"&amp;"-"&amp;"B"&amp;"-"&amp;B45, 'Carrier Rates'!$E$2:$E$1000, 0))</f>
        <v>0.06</v>
      </c>
      <c r="N45" s="40">
        <f t="shared" si="6"/>
        <v>1200</v>
      </c>
      <c r="O45" s="44">
        <f t="shared" si="7"/>
        <v>2130.777</v>
      </c>
      <c r="P45" s="44">
        <f t="shared" si="8"/>
        <v>1200</v>
      </c>
      <c r="Q45" s="7">
        <f t="shared" si="9"/>
        <v>0.82</v>
      </c>
      <c r="R45" s="44">
        <f t="shared" si="10"/>
        <v>3873.1880000000001</v>
      </c>
      <c r="S45" s="7"/>
      <c r="T45" s="7"/>
      <c r="U45" s="40">
        <f t="shared" si="11"/>
        <v>1200</v>
      </c>
      <c r="V45" s="43">
        <f t="shared" si="12"/>
        <v>1563.9690000000003</v>
      </c>
      <c r="W45" s="42">
        <f t="shared" si="13"/>
        <v>1200</v>
      </c>
      <c r="X45" s="7"/>
      <c r="Y45" s="7"/>
      <c r="Z45" s="7"/>
    </row>
    <row r="46" spans="1:26" ht="15.75" customHeight="1" x14ac:dyDescent="0.2">
      <c r="A46" s="17">
        <v>42009</v>
      </c>
      <c r="B46" s="18">
        <v>1</v>
      </c>
      <c r="C46" s="18" t="s">
        <v>17</v>
      </c>
      <c r="D46" s="19">
        <v>4702</v>
      </c>
      <c r="E46" s="44">
        <f t="shared" si="0"/>
        <v>5172.2000000000007</v>
      </c>
      <c r="F46" s="7">
        <f t="shared" si="1"/>
        <v>2</v>
      </c>
      <c r="G46" s="44">
        <f t="shared" si="2"/>
        <v>10344.400000000001</v>
      </c>
      <c r="H46" s="44" t="str">
        <f t="shared" si="3"/>
        <v>2015-01-05-1-B</v>
      </c>
      <c r="I46" s="20">
        <f>VLOOKUP(H46,'Historical Shipments'!$D$2:$E$10000,2,FALSE)</f>
        <v>19339</v>
      </c>
      <c r="J46" s="20">
        <f t="shared" si="4"/>
        <v>21272.9</v>
      </c>
      <c r="K46" s="44">
        <f t="shared" si="5"/>
        <v>31617.300000000003</v>
      </c>
      <c r="L46" s="40">
        <f t="array" ref="L46">INDEX('Carrier Rates'!$D$2:$D$1000, MATCH("X"&amp;"-"&amp;"B"&amp;"-"&amp;B46, 'Carrier Rates'!$E$2:$E$1000, 0))</f>
        <v>1200</v>
      </c>
      <c r="M46" s="45">
        <f t="array" ref="M46">INDEX('Carrier Rates'!$D$2:$D$1000, MATCH("Y"&amp;"-"&amp;"B"&amp;"-"&amp;B46, 'Carrier Rates'!$E$2:$E$1000, 0))</f>
        <v>7.0000000000000007E-2</v>
      </c>
      <c r="N46" s="40">
        <f t="shared" si="6"/>
        <v>1200</v>
      </c>
      <c r="O46" s="44">
        <f t="shared" si="7"/>
        <v>2213.2110000000002</v>
      </c>
      <c r="P46" s="44">
        <f t="shared" si="8"/>
        <v>1200</v>
      </c>
      <c r="Q46" s="7">
        <f t="shared" si="9"/>
        <v>0.82</v>
      </c>
      <c r="R46" s="44">
        <f t="shared" si="10"/>
        <v>4241.2040000000006</v>
      </c>
      <c r="S46" s="7"/>
      <c r="T46" s="7"/>
      <c r="U46" s="40">
        <f t="shared" si="11"/>
        <v>1200</v>
      </c>
      <c r="V46" s="43">
        <f t="shared" si="12"/>
        <v>1489.1030000000003</v>
      </c>
      <c r="W46" s="42">
        <f t="shared" si="13"/>
        <v>1200</v>
      </c>
      <c r="X46" s="7"/>
      <c r="Y46" s="7"/>
      <c r="Z46" s="7"/>
    </row>
    <row r="47" spans="1:26" ht="15.75" customHeight="1" x14ac:dyDescent="0.2">
      <c r="A47" s="17">
        <v>42009</v>
      </c>
      <c r="B47" s="18">
        <v>2</v>
      </c>
      <c r="C47" s="18" t="s">
        <v>17</v>
      </c>
      <c r="D47" s="19">
        <v>3319</v>
      </c>
      <c r="E47" s="44">
        <f t="shared" si="0"/>
        <v>3650.9</v>
      </c>
      <c r="F47" s="7">
        <f t="shared" si="1"/>
        <v>2</v>
      </c>
      <c r="G47" s="44">
        <f t="shared" si="2"/>
        <v>7301.8</v>
      </c>
      <c r="H47" s="44" t="str">
        <f t="shared" si="3"/>
        <v>2015-01-05-2-B</v>
      </c>
      <c r="I47" s="20">
        <f>VLOOKUP(H47,'Historical Shipments'!$D$2:$E$10000,2,FALSE)</f>
        <v>24053.4</v>
      </c>
      <c r="J47" s="20">
        <f t="shared" si="4"/>
        <v>26458.740000000005</v>
      </c>
      <c r="K47" s="44">
        <f t="shared" si="5"/>
        <v>33760.540000000008</v>
      </c>
      <c r="L47" s="40">
        <f t="array" ref="L47">INDEX('Carrier Rates'!$D$2:$D$1000, MATCH("X"&amp;"-"&amp;"B"&amp;"-"&amp;B47, 'Carrier Rates'!$E$2:$E$1000, 0))</f>
        <v>1200</v>
      </c>
      <c r="M47" s="45">
        <f t="array" ref="M47">INDEX('Carrier Rates'!$D$2:$D$1000, MATCH("Y"&amp;"-"&amp;"B"&amp;"-"&amp;B47, 'Carrier Rates'!$E$2:$E$1000, 0))</f>
        <v>0.06</v>
      </c>
      <c r="N47" s="40">
        <f t="shared" si="6"/>
        <v>1200</v>
      </c>
      <c r="O47" s="44">
        <f t="shared" si="7"/>
        <v>2025.6324000000004</v>
      </c>
      <c r="P47" s="44">
        <f t="shared" si="8"/>
        <v>1200</v>
      </c>
      <c r="Q47" s="7">
        <f t="shared" si="9"/>
        <v>0.82</v>
      </c>
      <c r="R47" s="44">
        <f t="shared" si="10"/>
        <v>2993.7379999999998</v>
      </c>
      <c r="S47" s="7"/>
      <c r="T47" s="7"/>
      <c r="U47" s="40">
        <f t="shared" si="11"/>
        <v>1200</v>
      </c>
      <c r="V47" s="43">
        <f t="shared" si="12"/>
        <v>1587.5244000000002</v>
      </c>
      <c r="W47" s="42">
        <f t="shared" si="13"/>
        <v>1200</v>
      </c>
      <c r="X47" s="7"/>
      <c r="Y47" s="7"/>
      <c r="Z47" s="7"/>
    </row>
    <row r="48" spans="1:26" ht="15.75" customHeight="1" x14ac:dyDescent="0.2">
      <c r="A48" s="17">
        <v>42016</v>
      </c>
      <c r="B48" s="18">
        <v>1</v>
      </c>
      <c r="C48" s="18" t="s">
        <v>17</v>
      </c>
      <c r="D48" s="19">
        <v>4031</v>
      </c>
      <c r="E48" s="44">
        <f t="shared" si="0"/>
        <v>4434.1000000000004</v>
      </c>
      <c r="F48" s="7">
        <f t="shared" si="1"/>
        <v>2</v>
      </c>
      <c r="G48" s="44">
        <f t="shared" si="2"/>
        <v>8868.2000000000007</v>
      </c>
      <c r="H48" s="44" t="str">
        <f t="shared" si="3"/>
        <v>2015-01-12-1-B</v>
      </c>
      <c r="I48" s="20">
        <f>VLOOKUP(H48,'Historical Shipments'!$D$2:$E$10000,2,FALSE)</f>
        <v>14558.2</v>
      </c>
      <c r="J48" s="20">
        <f t="shared" si="4"/>
        <v>16014.020000000002</v>
      </c>
      <c r="K48" s="44">
        <f t="shared" si="5"/>
        <v>24882.22</v>
      </c>
      <c r="L48" s="40">
        <f t="array" ref="L48">INDEX('Carrier Rates'!$D$2:$D$1000, MATCH("X"&amp;"-"&amp;"B"&amp;"-"&amp;B48, 'Carrier Rates'!$E$2:$E$1000, 0))</f>
        <v>1200</v>
      </c>
      <c r="M48" s="45">
        <f t="array" ref="M48">INDEX('Carrier Rates'!$D$2:$D$1000, MATCH("Y"&amp;"-"&amp;"B"&amp;"-"&amp;B48, 'Carrier Rates'!$E$2:$E$1000, 0))</f>
        <v>7.0000000000000007E-2</v>
      </c>
      <c r="N48" s="40">
        <f t="shared" si="6"/>
        <v>1200</v>
      </c>
      <c r="O48" s="44">
        <f t="shared" si="7"/>
        <v>1741.7554000000002</v>
      </c>
      <c r="P48" s="44">
        <f t="shared" si="8"/>
        <v>1200</v>
      </c>
      <c r="Q48" s="7">
        <f t="shared" si="9"/>
        <v>0.82</v>
      </c>
      <c r="R48" s="44">
        <f t="shared" si="10"/>
        <v>3635.962</v>
      </c>
      <c r="S48" s="7"/>
      <c r="T48" s="7"/>
      <c r="U48" s="40">
        <f t="shared" si="11"/>
        <v>1200</v>
      </c>
      <c r="V48" s="43">
        <f t="shared" si="12"/>
        <v>1120.9814000000003</v>
      </c>
      <c r="W48" s="42">
        <f t="shared" si="13"/>
        <v>1120.9814000000003</v>
      </c>
      <c r="X48" s="7"/>
      <c r="Y48" s="7"/>
      <c r="Z48" s="7"/>
    </row>
    <row r="49" spans="1:26" ht="15.75" customHeight="1" x14ac:dyDescent="0.2">
      <c r="A49" s="17">
        <v>42016</v>
      </c>
      <c r="B49" s="18">
        <v>2</v>
      </c>
      <c r="C49" s="18" t="s">
        <v>17</v>
      </c>
      <c r="D49" s="19">
        <v>3024</v>
      </c>
      <c r="E49" s="44">
        <f t="shared" si="0"/>
        <v>3326.4</v>
      </c>
      <c r="F49" s="7">
        <f t="shared" si="1"/>
        <v>2</v>
      </c>
      <c r="G49" s="44">
        <f t="shared" si="2"/>
        <v>6652.8</v>
      </c>
      <c r="H49" s="44" t="str">
        <f t="shared" si="3"/>
        <v>2015-01-12-2-B</v>
      </c>
      <c r="I49" s="20">
        <f>VLOOKUP(H49,'Historical Shipments'!$D$2:$E$10000,2,FALSE)</f>
        <v>14458.6</v>
      </c>
      <c r="J49" s="20">
        <f t="shared" si="4"/>
        <v>15904.460000000001</v>
      </c>
      <c r="K49" s="44">
        <f t="shared" si="5"/>
        <v>22557.260000000002</v>
      </c>
      <c r="L49" s="40">
        <f t="array" ref="L49">INDEX('Carrier Rates'!$D$2:$D$1000, MATCH("X"&amp;"-"&amp;"B"&amp;"-"&amp;B49, 'Carrier Rates'!$E$2:$E$1000, 0))</f>
        <v>1200</v>
      </c>
      <c r="M49" s="45">
        <f t="array" ref="M49">INDEX('Carrier Rates'!$D$2:$D$1000, MATCH("Y"&amp;"-"&amp;"B"&amp;"-"&amp;B49, 'Carrier Rates'!$E$2:$E$1000, 0))</f>
        <v>0.06</v>
      </c>
      <c r="N49" s="40">
        <f t="shared" si="6"/>
        <v>1200</v>
      </c>
      <c r="O49" s="44">
        <f t="shared" si="7"/>
        <v>1353.4356</v>
      </c>
      <c r="P49" s="44">
        <f t="shared" si="8"/>
        <v>1200</v>
      </c>
      <c r="Q49" s="7">
        <f t="shared" si="9"/>
        <v>0.82</v>
      </c>
      <c r="R49" s="44">
        <f t="shared" si="10"/>
        <v>2727.6480000000001</v>
      </c>
      <c r="S49" s="7"/>
      <c r="T49" s="7"/>
      <c r="U49" s="40">
        <f t="shared" si="11"/>
        <v>1200</v>
      </c>
      <c r="V49" s="43">
        <f t="shared" si="12"/>
        <v>954.26760000000002</v>
      </c>
      <c r="W49" s="42">
        <f t="shared" si="13"/>
        <v>954.26760000000002</v>
      </c>
      <c r="X49" s="7"/>
      <c r="Y49" s="7"/>
      <c r="Z49" s="7"/>
    </row>
    <row r="50" spans="1:26" ht="15.75" customHeight="1" x14ac:dyDescent="0.2">
      <c r="A50" s="17">
        <v>42023</v>
      </c>
      <c r="B50" s="18">
        <v>1</v>
      </c>
      <c r="C50" s="18" t="s">
        <v>17</v>
      </c>
      <c r="D50" s="19">
        <v>4338</v>
      </c>
      <c r="E50" s="44">
        <f t="shared" si="0"/>
        <v>4771.8</v>
      </c>
      <c r="F50" s="7">
        <f t="shared" si="1"/>
        <v>2</v>
      </c>
      <c r="G50" s="44">
        <f t="shared" si="2"/>
        <v>9543.6</v>
      </c>
      <c r="H50" s="44" t="str">
        <f t="shared" si="3"/>
        <v>2015-01-19-1-B</v>
      </c>
      <c r="I50" s="20">
        <f>VLOOKUP(H50,'Historical Shipments'!$D$2:$E$10000,2,FALSE)</f>
        <v>12566.2</v>
      </c>
      <c r="J50" s="20">
        <f t="shared" si="4"/>
        <v>13822.820000000002</v>
      </c>
      <c r="K50" s="44">
        <f t="shared" si="5"/>
        <v>23366.420000000002</v>
      </c>
      <c r="L50" s="40">
        <f t="array" ref="L50">INDEX('Carrier Rates'!$D$2:$D$1000, MATCH("X"&amp;"-"&amp;"B"&amp;"-"&amp;B50, 'Carrier Rates'!$E$2:$E$1000, 0))</f>
        <v>1200</v>
      </c>
      <c r="M50" s="45">
        <f t="array" ref="M50">INDEX('Carrier Rates'!$D$2:$D$1000, MATCH("Y"&amp;"-"&amp;"B"&amp;"-"&amp;B50, 'Carrier Rates'!$E$2:$E$1000, 0))</f>
        <v>7.0000000000000007E-2</v>
      </c>
      <c r="N50" s="40">
        <f t="shared" si="6"/>
        <v>1200</v>
      </c>
      <c r="O50" s="44">
        <f t="shared" si="7"/>
        <v>1635.6494000000002</v>
      </c>
      <c r="P50" s="44">
        <f t="shared" si="8"/>
        <v>1200</v>
      </c>
      <c r="Q50" s="7">
        <f t="shared" si="9"/>
        <v>0.82</v>
      </c>
      <c r="R50" s="44">
        <f t="shared" si="10"/>
        <v>3912.8759999999997</v>
      </c>
      <c r="S50" s="7"/>
      <c r="T50" s="7"/>
      <c r="U50" s="40">
        <f t="shared" si="11"/>
        <v>1200</v>
      </c>
      <c r="V50" s="43">
        <f t="shared" si="12"/>
        <v>967.59740000000022</v>
      </c>
      <c r="W50" s="42">
        <f t="shared" si="13"/>
        <v>967.59740000000022</v>
      </c>
      <c r="X50" s="7"/>
      <c r="Y50" s="7"/>
      <c r="Z50" s="7"/>
    </row>
    <row r="51" spans="1:26" ht="15.75" customHeight="1" x14ac:dyDescent="0.2">
      <c r="A51" s="17">
        <v>42023</v>
      </c>
      <c r="B51" s="18">
        <v>2</v>
      </c>
      <c r="C51" s="18" t="s">
        <v>17</v>
      </c>
      <c r="D51" s="19">
        <v>2688</v>
      </c>
      <c r="E51" s="44">
        <f t="shared" si="0"/>
        <v>2956.8</v>
      </c>
      <c r="F51" s="7">
        <f t="shared" si="1"/>
        <v>2</v>
      </c>
      <c r="G51" s="44">
        <f t="shared" si="2"/>
        <v>5913.6</v>
      </c>
      <c r="H51" s="44" t="str">
        <f t="shared" si="3"/>
        <v>2015-01-19-2-B</v>
      </c>
      <c r="I51" s="20">
        <f>VLOOKUP(H51,'Historical Shipments'!$D$2:$E$10000,2,FALSE)</f>
        <v>16375.900000000001</v>
      </c>
      <c r="J51" s="20">
        <f t="shared" si="4"/>
        <v>18013.490000000002</v>
      </c>
      <c r="K51" s="44">
        <f t="shared" si="5"/>
        <v>23927.090000000004</v>
      </c>
      <c r="L51" s="40">
        <f t="array" ref="L51">INDEX('Carrier Rates'!$D$2:$D$1000, MATCH("X"&amp;"-"&amp;"B"&amp;"-"&amp;B51, 'Carrier Rates'!$E$2:$E$1000, 0))</f>
        <v>1200</v>
      </c>
      <c r="M51" s="45">
        <f t="array" ref="M51">INDEX('Carrier Rates'!$D$2:$D$1000, MATCH("Y"&amp;"-"&amp;"B"&amp;"-"&amp;B51, 'Carrier Rates'!$E$2:$E$1000, 0))</f>
        <v>0.06</v>
      </c>
      <c r="N51" s="40">
        <f t="shared" si="6"/>
        <v>1200</v>
      </c>
      <c r="O51" s="44">
        <f t="shared" si="7"/>
        <v>1435.6254000000001</v>
      </c>
      <c r="P51" s="44">
        <f t="shared" si="8"/>
        <v>1200</v>
      </c>
      <c r="Q51" s="7">
        <f t="shared" si="9"/>
        <v>0.82</v>
      </c>
      <c r="R51" s="44">
        <f t="shared" si="10"/>
        <v>2424.576</v>
      </c>
      <c r="S51" s="7"/>
      <c r="T51" s="7"/>
      <c r="U51" s="40">
        <f t="shared" si="11"/>
        <v>1200</v>
      </c>
      <c r="V51" s="43">
        <f t="shared" si="12"/>
        <v>1080.8094000000001</v>
      </c>
      <c r="W51" s="42">
        <f t="shared" si="13"/>
        <v>1080.8094000000001</v>
      </c>
      <c r="X51" s="7"/>
      <c r="Y51" s="7"/>
      <c r="Z51" s="7"/>
    </row>
    <row r="52" spans="1:26" ht="15.75" customHeight="1" x14ac:dyDescent="0.2">
      <c r="A52" s="17">
        <v>42030</v>
      </c>
      <c r="B52" s="18">
        <v>1</v>
      </c>
      <c r="C52" s="18" t="s">
        <v>17</v>
      </c>
      <c r="D52" s="19">
        <v>4495</v>
      </c>
      <c r="E52" s="44">
        <f t="shared" si="0"/>
        <v>4944.5</v>
      </c>
      <c r="F52" s="7">
        <f t="shared" si="1"/>
        <v>2</v>
      </c>
      <c r="G52" s="44">
        <f t="shared" si="2"/>
        <v>9889</v>
      </c>
      <c r="H52" s="44" t="str">
        <f t="shared" si="3"/>
        <v>2015-01-26-1-B</v>
      </c>
      <c r="I52" s="20">
        <f>VLOOKUP(H52,'Historical Shipments'!$D$2:$E$10000,2,FALSE)</f>
        <v>14458.6</v>
      </c>
      <c r="J52" s="20">
        <f t="shared" si="4"/>
        <v>15904.460000000001</v>
      </c>
      <c r="K52" s="44">
        <f t="shared" si="5"/>
        <v>25793.46</v>
      </c>
      <c r="L52" s="40">
        <f t="array" ref="L52">INDEX('Carrier Rates'!$D$2:$D$1000, MATCH("X"&amp;"-"&amp;"B"&amp;"-"&amp;B52, 'Carrier Rates'!$E$2:$E$1000, 0))</f>
        <v>1200</v>
      </c>
      <c r="M52" s="45">
        <f t="array" ref="M52">INDEX('Carrier Rates'!$D$2:$D$1000, MATCH("Y"&amp;"-"&amp;"B"&amp;"-"&amp;B52, 'Carrier Rates'!$E$2:$E$1000, 0))</f>
        <v>7.0000000000000007E-2</v>
      </c>
      <c r="N52" s="40">
        <f t="shared" si="6"/>
        <v>1200</v>
      </c>
      <c r="O52" s="44">
        <f t="shared" si="7"/>
        <v>1805.5422000000001</v>
      </c>
      <c r="P52" s="44">
        <f t="shared" si="8"/>
        <v>1200</v>
      </c>
      <c r="Q52" s="7">
        <f t="shared" si="9"/>
        <v>0.82</v>
      </c>
      <c r="R52" s="44">
        <f t="shared" si="10"/>
        <v>4054.49</v>
      </c>
      <c r="S52" s="7"/>
      <c r="T52" s="7"/>
      <c r="U52" s="40">
        <f t="shared" si="11"/>
        <v>1200</v>
      </c>
      <c r="V52" s="43">
        <f t="shared" si="12"/>
        <v>1113.3122000000001</v>
      </c>
      <c r="W52" s="42">
        <f t="shared" si="13"/>
        <v>1113.3122000000001</v>
      </c>
      <c r="X52" s="7"/>
      <c r="Y52" s="7"/>
      <c r="Z52" s="7"/>
    </row>
    <row r="53" spans="1:26" ht="15.75" customHeight="1" x14ac:dyDescent="0.2">
      <c r="A53" s="17">
        <v>42030</v>
      </c>
      <c r="B53" s="18">
        <v>2</v>
      </c>
      <c r="C53" s="18" t="s">
        <v>17</v>
      </c>
      <c r="D53" s="19">
        <v>3448</v>
      </c>
      <c r="E53" s="44">
        <f t="shared" si="0"/>
        <v>3792.8</v>
      </c>
      <c r="F53" s="7">
        <f t="shared" si="1"/>
        <v>2</v>
      </c>
      <c r="G53" s="44">
        <f t="shared" si="2"/>
        <v>7585.6</v>
      </c>
      <c r="H53" s="44" t="str">
        <f t="shared" si="3"/>
        <v>2015-01-26-2-B</v>
      </c>
      <c r="I53" s="20">
        <f>VLOOKUP(H53,'Historical Shipments'!$D$2:$E$10000,2,FALSE)</f>
        <v>19181.300000000003</v>
      </c>
      <c r="J53" s="20">
        <f t="shared" si="4"/>
        <v>21099.430000000004</v>
      </c>
      <c r="K53" s="44">
        <f t="shared" si="5"/>
        <v>28685.030000000006</v>
      </c>
      <c r="L53" s="40">
        <f t="array" ref="L53">INDEX('Carrier Rates'!$D$2:$D$1000, MATCH("X"&amp;"-"&amp;"B"&amp;"-"&amp;B53, 'Carrier Rates'!$E$2:$E$1000, 0))</f>
        <v>1200</v>
      </c>
      <c r="M53" s="45">
        <f t="array" ref="M53">INDEX('Carrier Rates'!$D$2:$D$1000, MATCH("Y"&amp;"-"&amp;"B"&amp;"-"&amp;B53, 'Carrier Rates'!$E$2:$E$1000, 0))</f>
        <v>0.06</v>
      </c>
      <c r="N53" s="40">
        <f t="shared" si="6"/>
        <v>1200</v>
      </c>
      <c r="O53" s="44">
        <f t="shared" si="7"/>
        <v>1721.1018000000004</v>
      </c>
      <c r="P53" s="44">
        <f t="shared" si="8"/>
        <v>1200</v>
      </c>
      <c r="Q53" s="7">
        <f t="shared" si="9"/>
        <v>0.82</v>
      </c>
      <c r="R53" s="44">
        <f t="shared" si="10"/>
        <v>3110.096</v>
      </c>
      <c r="S53" s="7"/>
      <c r="T53" s="7"/>
      <c r="U53" s="40">
        <f t="shared" si="11"/>
        <v>1200</v>
      </c>
      <c r="V53" s="43">
        <f t="shared" si="12"/>
        <v>1265.9658000000002</v>
      </c>
      <c r="W53" s="42">
        <f t="shared" si="13"/>
        <v>1200</v>
      </c>
      <c r="X53" s="7"/>
      <c r="Y53" s="7"/>
      <c r="Z53" s="7"/>
    </row>
    <row r="54" spans="1:26" ht="15.75" customHeight="1" x14ac:dyDescent="0.2">
      <c r="A54" s="17">
        <v>42037</v>
      </c>
      <c r="B54" s="18">
        <v>1</v>
      </c>
      <c r="C54" s="18" t="s">
        <v>17</v>
      </c>
      <c r="D54" s="19">
        <v>4174</v>
      </c>
      <c r="E54" s="44">
        <f t="shared" si="0"/>
        <v>4591.4000000000005</v>
      </c>
      <c r="F54" s="7">
        <f t="shared" si="1"/>
        <v>2</v>
      </c>
      <c r="G54" s="44">
        <f t="shared" si="2"/>
        <v>9182.8000000000011</v>
      </c>
      <c r="H54" s="44" t="str">
        <f t="shared" si="3"/>
        <v>2015-02-02-1-B</v>
      </c>
      <c r="I54" s="20">
        <f>VLOOKUP(H54,'Historical Shipments'!$D$2:$E$10000,2,FALSE)</f>
        <v>16359.300000000001</v>
      </c>
      <c r="J54" s="20">
        <f t="shared" si="4"/>
        <v>17995.230000000003</v>
      </c>
      <c r="K54" s="44">
        <f t="shared" si="5"/>
        <v>27178.030000000006</v>
      </c>
      <c r="L54" s="40">
        <f t="array" ref="L54">INDEX('Carrier Rates'!$D$2:$D$1000, MATCH("X"&amp;"-"&amp;"B"&amp;"-"&amp;B54, 'Carrier Rates'!$E$2:$E$1000, 0))</f>
        <v>1200</v>
      </c>
      <c r="M54" s="45">
        <f t="array" ref="M54">INDEX('Carrier Rates'!$D$2:$D$1000, MATCH("Y"&amp;"-"&amp;"B"&amp;"-"&amp;B54, 'Carrier Rates'!$E$2:$E$1000, 0))</f>
        <v>7.0000000000000007E-2</v>
      </c>
      <c r="N54" s="40">
        <f t="shared" si="6"/>
        <v>1200</v>
      </c>
      <c r="O54" s="44">
        <f t="shared" si="7"/>
        <v>1902.4621000000006</v>
      </c>
      <c r="P54" s="44">
        <f t="shared" si="8"/>
        <v>1200</v>
      </c>
      <c r="Q54" s="7">
        <f t="shared" si="9"/>
        <v>0.82</v>
      </c>
      <c r="R54" s="44">
        <f t="shared" si="10"/>
        <v>3764.9480000000003</v>
      </c>
      <c r="S54" s="7"/>
      <c r="T54" s="7"/>
      <c r="U54" s="40">
        <f t="shared" si="11"/>
        <v>1200</v>
      </c>
      <c r="V54" s="43">
        <f t="shared" si="12"/>
        <v>1259.6661000000004</v>
      </c>
      <c r="W54" s="42">
        <f t="shared" si="13"/>
        <v>1200</v>
      </c>
      <c r="X54" s="7"/>
      <c r="Y54" s="7"/>
      <c r="Z54" s="7"/>
    </row>
    <row r="55" spans="1:26" ht="15.75" customHeight="1" x14ac:dyDescent="0.2">
      <c r="A55" s="17">
        <v>42037</v>
      </c>
      <c r="B55" s="18">
        <v>2</v>
      </c>
      <c r="C55" s="18" t="s">
        <v>17</v>
      </c>
      <c r="D55" s="19">
        <v>2843</v>
      </c>
      <c r="E55" s="44">
        <f t="shared" si="0"/>
        <v>3127.3</v>
      </c>
      <c r="F55" s="7">
        <f t="shared" si="1"/>
        <v>2</v>
      </c>
      <c r="G55" s="44">
        <f t="shared" si="2"/>
        <v>6254.6</v>
      </c>
      <c r="H55" s="44" t="str">
        <f t="shared" si="3"/>
        <v>2015-02-02-2-B</v>
      </c>
      <c r="I55" s="20">
        <f>VLOOKUP(H55,'Historical Shipments'!$D$2:$E$10000,2,FALSE)</f>
        <v>17139.5</v>
      </c>
      <c r="J55" s="20">
        <f t="shared" si="4"/>
        <v>18853.45</v>
      </c>
      <c r="K55" s="44">
        <f t="shared" si="5"/>
        <v>25108.050000000003</v>
      </c>
      <c r="L55" s="40">
        <f t="array" ref="L55">INDEX('Carrier Rates'!$D$2:$D$1000, MATCH("X"&amp;"-"&amp;"B"&amp;"-"&amp;B55, 'Carrier Rates'!$E$2:$E$1000, 0))</f>
        <v>1200</v>
      </c>
      <c r="M55" s="45">
        <f t="array" ref="M55">INDEX('Carrier Rates'!$D$2:$D$1000, MATCH("Y"&amp;"-"&amp;"B"&amp;"-"&amp;B55, 'Carrier Rates'!$E$2:$E$1000, 0))</f>
        <v>0.06</v>
      </c>
      <c r="N55" s="40">
        <f t="shared" si="6"/>
        <v>1200</v>
      </c>
      <c r="O55" s="44">
        <f t="shared" si="7"/>
        <v>1506.4830000000002</v>
      </c>
      <c r="P55" s="44">
        <f t="shared" si="8"/>
        <v>1200</v>
      </c>
      <c r="Q55" s="7">
        <f t="shared" si="9"/>
        <v>0.82</v>
      </c>
      <c r="R55" s="44">
        <f t="shared" si="10"/>
        <v>2564.386</v>
      </c>
      <c r="S55" s="7"/>
      <c r="T55" s="7"/>
      <c r="U55" s="40">
        <f t="shared" si="11"/>
        <v>1200</v>
      </c>
      <c r="V55" s="43">
        <f t="shared" si="12"/>
        <v>1131.2070000000001</v>
      </c>
      <c r="W55" s="42">
        <f t="shared" si="13"/>
        <v>1131.2070000000001</v>
      </c>
      <c r="X55" s="7"/>
      <c r="Y55" s="7"/>
      <c r="Z55" s="7"/>
    </row>
    <row r="56" spans="1:26" ht="15.75" customHeight="1" x14ac:dyDescent="0.2">
      <c r="A56" s="17">
        <v>42044</v>
      </c>
      <c r="B56" s="18">
        <v>1</v>
      </c>
      <c r="C56" s="18" t="s">
        <v>17</v>
      </c>
      <c r="D56" s="19">
        <v>4882</v>
      </c>
      <c r="E56" s="44">
        <f t="shared" si="0"/>
        <v>5370.2000000000007</v>
      </c>
      <c r="F56" s="7">
        <f t="shared" si="1"/>
        <v>2</v>
      </c>
      <c r="G56" s="44">
        <f t="shared" si="2"/>
        <v>10740.400000000001</v>
      </c>
      <c r="H56" s="44" t="str">
        <f t="shared" si="3"/>
        <v>2015-02-09-1-B</v>
      </c>
      <c r="I56" s="20">
        <f>VLOOKUP(H56,'Historical Shipments'!$D$2:$E$10000,2,FALSE)</f>
        <v>18044.2</v>
      </c>
      <c r="J56" s="20">
        <f t="shared" si="4"/>
        <v>19848.620000000003</v>
      </c>
      <c r="K56" s="44">
        <f t="shared" si="5"/>
        <v>30589.020000000004</v>
      </c>
      <c r="L56" s="40">
        <f t="array" ref="L56">INDEX('Carrier Rates'!$D$2:$D$1000, MATCH("X"&amp;"-"&amp;"B"&amp;"-"&amp;B56, 'Carrier Rates'!$E$2:$E$1000, 0))</f>
        <v>1200</v>
      </c>
      <c r="M56" s="45">
        <f t="array" ref="M56">INDEX('Carrier Rates'!$D$2:$D$1000, MATCH("Y"&amp;"-"&amp;"B"&amp;"-"&amp;B56, 'Carrier Rates'!$E$2:$E$1000, 0))</f>
        <v>7.0000000000000007E-2</v>
      </c>
      <c r="N56" s="40">
        <f t="shared" si="6"/>
        <v>1200</v>
      </c>
      <c r="O56" s="44">
        <f t="shared" si="7"/>
        <v>2141.2314000000006</v>
      </c>
      <c r="P56" s="44">
        <f t="shared" si="8"/>
        <v>1200</v>
      </c>
      <c r="Q56" s="7">
        <f t="shared" si="9"/>
        <v>0.82</v>
      </c>
      <c r="R56" s="44">
        <f t="shared" si="10"/>
        <v>4403.5640000000003</v>
      </c>
      <c r="S56" s="7"/>
      <c r="T56" s="7"/>
      <c r="U56" s="40">
        <f t="shared" si="11"/>
        <v>1200</v>
      </c>
      <c r="V56" s="43">
        <f t="shared" si="12"/>
        <v>1389.4034000000004</v>
      </c>
      <c r="W56" s="42">
        <f t="shared" si="13"/>
        <v>1200</v>
      </c>
      <c r="X56" s="7"/>
      <c r="Y56" s="7"/>
      <c r="Z56" s="7"/>
    </row>
    <row r="57" spans="1:26" ht="15.75" customHeight="1" x14ac:dyDescent="0.2">
      <c r="A57" s="17">
        <v>42044</v>
      </c>
      <c r="B57" s="18">
        <v>2</v>
      </c>
      <c r="C57" s="18" t="s">
        <v>17</v>
      </c>
      <c r="D57" s="19">
        <v>4081</v>
      </c>
      <c r="E57" s="44">
        <f t="shared" si="0"/>
        <v>4489.1000000000004</v>
      </c>
      <c r="F57" s="7">
        <f t="shared" si="1"/>
        <v>2</v>
      </c>
      <c r="G57" s="44">
        <f t="shared" si="2"/>
        <v>8978.2000000000007</v>
      </c>
      <c r="H57" s="44" t="str">
        <f t="shared" si="3"/>
        <v>2015-02-09-2-B</v>
      </c>
      <c r="I57" s="20">
        <f>VLOOKUP(H57,'Historical Shipments'!$D$2:$E$10000,2,FALSE)</f>
        <v>22152.7</v>
      </c>
      <c r="J57" s="20">
        <f t="shared" si="4"/>
        <v>24367.97</v>
      </c>
      <c r="K57" s="44">
        <f t="shared" si="5"/>
        <v>33346.17</v>
      </c>
      <c r="L57" s="40">
        <f t="array" ref="L57">INDEX('Carrier Rates'!$D$2:$D$1000, MATCH("X"&amp;"-"&amp;"B"&amp;"-"&amp;B57, 'Carrier Rates'!$E$2:$E$1000, 0))</f>
        <v>1200</v>
      </c>
      <c r="M57" s="45">
        <f t="array" ref="M57">INDEX('Carrier Rates'!$D$2:$D$1000, MATCH("Y"&amp;"-"&amp;"B"&amp;"-"&amp;B57, 'Carrier Rates'!$E$2:$E$1000, 0))</f>
        <v>0.06</v>
      </c>
      <c r="N57" s="40">
        <f t="shared" si="6"/>
        <v>1200</v>
      </c>
      <c r="O57" s="44">
        <f t="shared" si="7"/>
        <v>2000.7701999999999</v>
      </c>
      <c r="P57" s="44">
        <f t="shared" si="8"/>
        <v>1200</v>
      </c>
      <c r="Q57" s="7">
        <f t="shared" si="9"/>
        <v>0.82</v>
      </c>
      <c r="R57" s="44">
        <f t="shared" si="10"/>
        <v>3681.0619999999999</v>
      </c>
      <c r="S57" s="7"/>
      <c r="T57" s="7"/>
      <c r="U57" s="40">
        <f t="shared" si="11"/>
        <v>1200</v>
      </c>
      <c r="V57" s="43">
        <f t="shared" si="12"/>
        <v>1462.0781999999999</v>
      </c>
      <c r="W57" s="42">
        <f t="shared" si="13"/>
        <v>1200</v>
      </c>
      <c r="X57" s="7"/>
      <c r="Y57" s="7"/>
      <c r="Z57" s="7"/>
    </row>
    <row r="58" spans="1:26" ht="15.75" customHeight="1" x14ac:dyDescent="0.2">
      <c r="A58" s="17">
        <v>42051</v>
      </c>
      <c r="B58" s="18">
        <v>1</v>
      </c>
      <c r="C58" s="18" t="s">
        <v>17</v>
      </c>
      <c r="D58" s="19">
        <v>4099</v>
      </c>
      <c r="E58" s="44">
        <f t="shared" si="0"/>
        <v>4508.9000000000005</v>
      </c>
      <c r="F58" s="7">
        <f t="shared" si="1"/>
        <v>2</v>
      </c>
      <c r="G58" s="44">
        <f t="shared" si="2"/>
        <v>9017.8000000000011</v>
      </c>
      <c r="H58" s="44" t="str">
        <f t="shared" si="3"/>
        <v>2015-02-16-1-B</v>
      </c>
      <c r="I58" s="20">
        <f>VLOOKUP(H58,'Historical Shipments'!$D$2:$E$10000,2,FALSE)</f>
        <v>19405.400000000001</v>
      </c>
      <c r="J58" s="20">
        <f t="shared" si="4"/>
        <v>21345.940000000002</v>
      </c>
      <c r="K58" s="44">
        <f t="shared" si="5"/>
        <v>30363.740000000005</v>
      </c>
      <c r="L58" s="40">
        <f t="array" ref="L58">INDEX('Carrier Rates'!$D$2:$D$1000, MATCH("X"&amp;"-"&amp;"B"&amp;"-"&amp;B58, 'Carrier Rates'!$E$2:$E$1000, 0))</f>
        <v>1200</v>
      </c>
      <c r="M58" s="45">
        <f t="array" ref="M58">INDEX('Carrier Rates'!$D$2:$D$1000, MATCH("Y"&amp;"-"&amp;"B"&amp;"-"&amp;B58, 'Carrier Rates'!$E$2:$E$1000, 0))</f>
        <v>7.0000000000000007E-2</v>
      </c>
      <c r="N58" s="40">
        <f t="shared" si="6"/>
        <v>1200</v>
      </c>
      <c r="O58" s="44">
        <f t="shared" si="7"/>
        <v>2125.4618000000005</v>
      </c>
      <c r="P58" s="44">
        <f t="shared" si="8"/>
        <v>1200</v>
      </c>
      <c r="Q58" s="7">
        <f t="shared" si="9"/>
        <v>0.82</v>
      </c>
      <c r="R58" s="44">
        <f t="shared" si="10"/>
        <v>3697.2980000000002</v>
      </c>
      <c r="S58" s="7"/>
      <c r="T58" s="7"/>
      <c r="U58" s="40">
        <f t="shared" si="11"/>
        <v>1200</v>
      </c>
      <c r="V58" s="43">
        <f t="shared" si="12"/>
        <v>1494.2158000000004</v>
      </c>
      <c r="W58" s="42">
        <f t="shared" si="13"/>
        <v>1200</v>
      </c>
      <c r="X58" s="7"/>
      <c r="Y58" s="7"/>
      <c r="Z58" s="7"/>
    </row>
    <row r="59" spans="1:26" ht="15.75" customHeight="1" x14ac:dyDescent="0.2">
      <c r="A59" s="17">
        <v>42051</v>
      </c>
      <c r="B59" s="18">
        <v>2</v>
      </c>
      <c r="C59" s="18" t="s">
        <v>17</v>
      </c>
      <c r="D59" s="19">
        <v>3390</v>
      </c>
      <c r="E59" s="44">
        <f t="shared" si="0"/>
        <v>3729.0000000000005</v>
      </c>
      <c r="F59" s="7">
        <f t="shared" si="1"/>
        <v>2</v>
      </c>
      <c r="G59" s="44">
        <f t="shared" si="2"/>
        <v>7458.0000000000009</v>
      </c>
      <c r="H59" s="44" t="str">
        <f t="shared" si="3"/>
        <v>2015-02-16-2-B</v>
      </c>
      <c r="I59" s="20">
        <f>VLOOKUP(H59,'Historical Shipments'!$D$2:$E$10000,2,FALSE)</f>
        <v>26609.800000000003</v>
      </c>
      <c r="J59" s="20">
        <f t="shared" si="4"/>
        <v>29270.780000000006</v>
      </c>
      <c r="K59" s="44">
        <f t="shared" si="5"/>
        <v>36728.780000000006</v>
      </c>
      <c r="L59" s="40">
        <f t="array" ref="L59">INDEX('Carrier Rates'!$D$2:$D$1000, MATCH("X"&amp;"-"&amp;"B"&amp;"-"&amp;B59, 'Carrier Rates'!$E$2:$E$1000, 0))</f>
        <v>1200</v>
      </c>
      <c r="M59" s="45">
        <f t="array" ref="M59">INDEX('Carrier Rates'!$D$2:$D$1000, MATCH("Y"&amp;"-"&amp;"B"&amp;"-"&amp;B59, 'Carrier Rates'!$E$2:$E$1000, 0))</f>
        <v>0.06</v>
      </c>
      <c r="N59" s="40">
        <f t="shared" si="6"/>
        <v>1200</v>
      </c>
      <c r="O59" s="44">
        <f t="shared" si="7"/>
        <v>2203.7268000000004</v>
      </c>
      <c r="P59" s="44">
        <f t="shared" si="8"/>
        <v>1200</v>
      </c>
      <c r="Q59" s="7">
        <f t="shared" si="9"/>
        <v>0.82</v>
      </c>
      <c r="R59" s="44">
        <f t="shared" si="10"/>
        <v>3057.78</v>
      </c>
      <c r="S59" s="7"/>
      <c r="T59" s="7"/>
      <c r="U59" s="40">
        <f t="shared" si="11"/>
        <v>1200</v>
      </c>
      <c r="V59" s="43">
        <f t="shared" si="12"/>
        <v>1756.2468000000003</v>
      </c>
      <c r="W59" s="42">
        <f t="shared" si="13"/>
        <v>1200</v>
      </c>
      <c r="X59" s="7"/>
      <c r="Y59" s="7"/>
      <c r="Z59" s="7"/>
    </row>
    <row r="60" spans="1:26" ht="15.75" customHeight="1" x14ac:dyDescent="0.2">
      <c r="A60" s="17">
        <v>42058</v>
      </c>
      <c r="B60" s="18">
        <v>1</v>
      </c>
      <c r="C60" s="18" t="s">
        <v>17</v>
      </c>
      <c r="D60" s="19">
        <v>4059</v>
      </c>
      <c r="E60" s="44">
        <f t="shared" si="0"/>
        <v>4464.9000000000005</v>
      </c>
      <c r="F60" s="7">
        <f t="shared" si="1"/>
        <v>2</v>
      </c>
      <c r="G60" s="44">
        <f t="shared" si="2"/>
        <v>8929.8000000000011</v>
      </c>
      <c r="H60" s="44" t="str">
        <f t="shared" si="3"/>
        <v>2015-02-23-1-B</v>
      </c>
      <c r="I60" s="20">
        <f>VLOOKUP(H60,'Historical Shipments'!$D$2:$E$10000,2,FALSE)</f>
        <v>17181</v>
      </c>
      <c r="J60" s="20">
        <f t="shared" si="4"/>
        <v>18899.100000000002</v>
      </c>
      <c r="K60" s="44">
        <f t="shared" si="5"/>
        <v>27828.9</v>
      </c>
      <c r="L60" s="40">
        <f t="array" ref="L60">INDEX('Carrier Rates'!$D$2:$D$1000, MATCH("X"&amp;"-"&amp;"B"&amp;"-"&amp;B60, 'Carrier Rates'!$E$2:$E$1000, 0))</f>
        <v>1200</v>
      </c>
      <c r="M60" s="45">
        <f t="array" ref="M60">INDEX('Carrier Rates'!$D$2:$D$1000, MATCH("Y"&amp;"-"&amp;"B"&amp;"-"&amp;B60, 'Carrier Rates'!$E$2:$E$1000, 0))</f>
        <v>7.0000000000000007E-2</v>
      </c>
      <c r="N60" s="40">
        <f t="shared" si="6"/>
        <v>1200</v>
      </c>
      <c r="O60" s="44">
        <f t="shared" si="7"/>
        <v>1948.0230000000004</v>
      </c>
      <c r="P60" s="44">
        <f t="shared" si="8"/>
        <v>1200</v>
      </c>
      <c r="Q60" s="7">
        <f t="shared" si="9"/>
        <v>0.82</v>
      </c>
      <c r="R60" s="44">
        <f t="shared" si="10"/>
        <v>3661.2180000000003</v>
      </c>
      <c r="S60" s="7"/>
      <c r="T60" s="7"/>
      <c r="U60" s="40">
        <f t="shared" si="11"/>
        <v>1200</v>
      </c>
      <c r="V60" s="43">
        <f t="shared" si="12"/>
        <v>1322.9370000000004</v>
      </c>
      <c r="W60" s="42">
        <f t="shared" si="13"/>
        <v>1200</v>
      </c>
      <c r="X60" s="7"/>
      <c r="Y60" s="7"/>
      <c r="Z60" s="7"/>
    </row>
    <row r="61" spans="1:26" ht="15.75" customHeight="1" x14ac:dyDescent="0.2">
      <c r="A61" s="17">
        <v>42058</v>
      </c>
      <c r="B61" s="18">
        <v>2</v>
      </c>
      <c r="C61" s="18" t="s">
        <v>17</v>
      </c>
      <c r="D61" s="19">
        <v>2438</v>
      </c>
      <c r="E61" s="44">
        <f t="shared" si="0"/>
        <v>2681.8</v>
      </c>
      <c r="F61" s="7">
        <f t="shared" si="1"/>
        <v>2</v>
      </c>
      <c r="G61" s="44">
        <f t="shared" si="2"/>
        <v>5363.6</v>
      </c>
      <c r="H61" s="44" t="str">
        <f t="shared" si="3"/>
        <v>2015-02-23-2-B</v>
      </c>
      <c r="I61" s="20">
        <f>VLOOKUP(H61,'Historical Shipments'!$D$2:$E$10000,2,FALSE)</f>
        <v>20866.2</v>
      </c>
      <c r="J61" s="20">
        <f t="shared" si="4"/>
        <v>22952.820000000003</v>
      </c>
      <c r="K61" s="44">
        <f t="shared" si="5"/>
        <v>28316.420000000006</v>
      </c>
      <c r="L61" s="40">
        <f t="array" ref="L61">INDEX('Carrier Rates'!$D$2:$D$1000, MATCH("X"&amp;"-"&amp;"B"&amp;"-"&amp;B61, 'Carrier Rates'!$E$2:$E$1000, 0))</f>
        <v>1200</v>
      </c>
      <c r="M61" s="45">
        <f t="array" ref="M61">INDEX('Carrier Rates'!$D$2:$D$1000, MATCH("Y"&amp;"-"&amp;"B"&amp;"-"&amp;B61, 'Carrier Rates'!$E$2:$E$1000, 0))</f>
        <v>0.06</v>
      </c>
      <c r="N61" s="40">
        <f t="shared" si="6"/>
        <v>1200</v>
      </c>
      <c r="O61" s="44">
        <f t="shared" si="7"/>
        <v>1698.9852000000003</v>
      </c>
      <c r="P61" s="44">
        <f t="shared" si="8"/>
        <v>1200</v>
      </c>
      <c r="Q61" s="7">
        <f t="shared" si="9"/>
        <v>0.82</v>
      </c>
      <c r="R61" s="44">
        <f t="shared" si="10"/>
        <v>2199.076</v>
      </c>
      <c r="S61" s="7"/>
      <c r="T61" s="7"/>
      <c r="U61" s="40">
        <f t="shared" si="11"/>
        <v>1200</v>
      </c>
      <c r="V61" s="43">
        <f t="shared" si="12"/>
        <v>1377.1692</v>
      </c>
      <c r="W61" s="42">
        <f t="shared" si="13"/>
        <v>1200</v>
      </c>
      <c r="X61" s="7"/>
      <c r="Y61" s="7"/>
      <c r="Z61" s="7"/>
    </row>
    <row r="62" spans="1:26" ht="15.75" customHeight="1" x14ac:dyDescent="0.2">
      <c r="A62" s="17">
        <v>42065</v>
      </c>
      <c r="B62" s="18">
        <v>1</v>
      </c>
      <c r="C62" s="18" t="s">
        <v>17</v>
      </c>
      <c r="D62" s="19">
        <v>4212</v>
      </c>
      <c r="E62" s="44">
        <f t="shared" si="0"/>
        <v>4633.2000000000007</v>
      </c>
      <c r="F62" s="7">
        <f t="shared" si="1"/>
        <v>2</v>
      </c>
      <c r="G62" s="44">
        <f t="shared" si="2"/>
        <v>9266.4000000000015</v>
      </c>
      <c r="H62" s="44" t="str">
        <f t="shared" si="3"/>
        <v>2015-03-02-1-B</v>
      </c>
      <c r="I62" s="20">
        <f>VLOOKUP(H62,'Historical Shipments'!$D$2:$E$10000,2,FALSE)</f>
        <v>18932.300000000003</v>
      </c>
      <c r="J62" s="20">
        <f t="shared" si="4"/>
        <v>20825.530000000006</v>
      </c>
      <c r="K62" s="44">
        <f t="shared" si="5"/>
        <v>30091.930000000008</v>
      </c>
      <c r="L62" s="40">
        <f t="array" ref="L62">INDEX('Carrier Rates'!$D$2:$D$1000, MATCH("X"&amp;"-"&amp;"B"&amp;"-"&amp;B62, 'Carrier Rates'!$E$2:$E$1000, 0))</f>
        <v>1200</v>
      </c>
      <c r="M62" s="45">
        <f t="array" ref="M62">INDEX('Carrier Rates'!$D$2:$D$1000, MATCH("Y"&amp;"-"&amp;"B"&amp;"-"&amp;B62, 'Carrier Rates'!$E$2:$E$1000, 0))</f>
        <v>7.0000000000000007E-2</v>
      </c>
      <c r="N62" s="40">
        <f t="shared" si="6"/>
        <v>1200</v>
      </c>
      <c r="O62" s="44">
        <f t="shared" si="7"/>
        <v>2106.4351000000006</v>
      </c>
      <c r="P62" s="44">
        <f t="shared" si="8"/>
        <v>1200</v>
      </c>
      <c r="Q62" s="7">
        <f t="shared" si="9"/>
        <v>0.82</v>
      </c>
      <c r="R62" s="44">
        <f t="shared" si="10"/>
        <v>3799.2240000000002</v>
      </c>
      <c r="S62" s="7"/>
      <c r="T62" s="7"/>
      <c r="U62" s="40">
        <f t="shared" si="11"/>
        <v>1200</v>
      </c>
      <c r="V62" s="43">
        <f t="shared" si="12"/>
        <v>1457.7871000000005</v>
      </c>
      <c r="W62" s="42">
        <f t="shared" si="13"/>
        <v>1200</v>
      </c>
      <c r="X62" s="7"/>
      <c r="Y62" s="7"/>
      <c r="Z62" s="7"/>
    </row>
    <row r="63" spans="1:26" ht="15.75" customHeight="1" x14ac:dyDescent="0.2">
      <c r="A63" s="17">
        <v>42065</v>
      </c>
      <c r="B63" s="18">
        <v>2</v>
      </c>
      <c r="C63" s="18" t="s">
        <v>17</v>
      </c>
      <c r="D63" s="19">
        <v>2588</v>
      </c>
      <c r="E63" s="44">
        <f t="shared" si="0"/>
        <v>2846.8</v>
      </c>
      <c r="F63" s="7">
        <f t="shared" si="1"/>
        <v>2</v>
      </c>
      <c r="G63" s="44">
        <f t="shared" si="2"/>
        <v>5693.6</v>
      </c>
      <c r="H63" s="44" t="str">
        <f t="shared" si="3"/>
        <v>2015-03-02-2-B</v>
      </c>
      <c r="I63" s="20">
        <f>VLOOKUP(H63,'Historical Shipments'!$D$2:$E$10000,2,FALSE)</f>
        <v>25937.500000000004</v>
      </c>
      <c r="J63" s="20">
        <f t="shared" si="4"/>
        <v>28531.250000000007</v>
      </c>
      <c r="K63" s="44">
        <f t="shared" si="5"/>
        <v>34224.850000000006</v>
      </c>
      <c r="L63" s="40">
        <f t="array" ref="L63">INDEX('Carrier Rates'!$D$2:$D$1000, MATCH("X"&amp;"-"&amp;"B"&amp;"-"&amp;B63, 'Carrier Rates'!$E$2:$E$1000, 0))</f>
        <v>1200</v>
      </c>
      <c r="M63" s="45">
        <f t="array" ref="M63">INDEX('Carrier Rates'!$D$2:$D$1000, MATCH("Y"&amp;"-"&amp;"B"&amp;"-"&amp;B63, 'Carrier Rates'!$E$2:$E$1000, 0))</f>
        <v>0.06</v>
      </c>
      <c r="N63" s="40">
        <f t="shared" si="6"/>
        <v>1200</v>
      </c>
      <c r="O63" s="44">
        <f t="shared" si="7"/>
        <v>2053.4910000000004</v>
      </c>
      <c r="P63" s="44">
        <f t="shared" si="8"/>
        <v>1200</v>
      </c>
      <c r="Q63" s="7">
        <f t="shared" si="9"/>
        <v>0.82</v>
      </c>
      <c r="R63" s="44">
        <f t="shared" si="10"/>
        <v>2334.3760000000002</v>
      </c>
      <c r="S63" s="7"/>
      <c r="T63" s="7"/>
      <c r="U63" s="40">
        <f t="shared" si="11"/>
        <v>1200</v>
      </c>
      <c r="V63" s="43">
        <f t="shared" si="12"/>
        <v>1711.8750000000005</v>
      </c>
      <c r="W63" s="42">
        <f t="shared" si="13"/>
        <v>1200</v>
      </c>
      <c r="X63" s="7"/>
      <c r="Y63" s="7"/>
      <c r="Z63" s="7"/>
    </row>
    <row r="64" spans="1:26" ht="15.75" customHeight="1" x14ac:dyDescent="0.2">
      <c r="A64" s="17">
        <v>42072</v>
      </c>
      <c r="B64" s="18">
        <v>1</v>
      </c>
      <c r="C64" s="18" t="s">
        <v>17</v>
      </c>
      <c r="D64" s="19">
        <v>6055</v>
      </c>
      <c r="E64" s="44">
        <f t="shared" si="0"/>
        <v>6660.5000000000009</v>
      </c>
      <c r="F64" s="7">
        <f t="shared" si="1"/>
        <v>2</v>
      </c>
      <c r="G64" s="44">
        <f t="shared" si="2"/>
        <v>13321.000000000002</v>
      </c>
      <c r="H64" s="44" t="str">
        <f t="shared" si="3"/>
        <v>2015-03-09-1-B</v>
      </c>
      <c r="I64" s="20">
        <f>VLOOKUP(H64,'Historical Shipments'!$D$2:$E$10000,2,FALSE)</f>
        <v>15072.800000000001</v>
      </c>
      <c r="J64" s="20">
        <f t="shared" si="4"/>
        <v>16580.080000000002</v>
      </c>
      <c r="K64" s="44">
        <f t="shared" si="5"/>
        <v>29901.08</v>
      </c>
      <c r="L64" s="40">
        <f t="array" ref="L64">INDEX('Carrier Rates'!$D$2:$D$1000, MATCH("X"&amp;"-"&amp;"B"&amp;"-"&amp;B64, 'Carrier Rates'!$E$2:$E$1000, 0))</f>
        <v>1200</v>
      </c>
      <c r="M64" s="45">
        <f t="array" ref="M64">INDEX('Carrier Rates'!$D$2:$D$1000, MATCH("Y"&amp;"-"&amp;"B"&amp;"-"&amp;B64, 'Carrier Rates'!$E$2:$E$1000, 0))</f>
        <v>7.0000000000000007E-2</v>
      </c>
      <c r="N64" s="40">
        <f t="shared" si="6"/>
        <v>1200</v>
      </c>
      <c r="O64" s="44">
        <f t="shared" si="7"/>
        <v>2093.0756000000001</v>
      </c>
      <c r="P64" s="44">
        <f t="shared" si="8"/>
        <v>1200</v>
      </c>
      <c r="Q64" s="7">
        <f t="shared" si="9"/>
        <v>0.82</v>
      </c>
      <c r="R64" s="44">
        <f t="shared" si="10"/>
        <v>5461.6100000000006</v>
      </c>
      <c r="S64" s="7"/>
      <c r="T64" s="7"/>
      <c r="U64" s="40">
        <f t="shared" si="11"/>
        <v>1200</v>
      </c>
      <c r="V64" s="43">
        <f t="shared" si="12"/>
        <v>1160.6056000000003</v>
      </c>
      <c r="W64" s="42">
        <f t="shared" si="13"/>
        <v>1160.6056000000003</v>
      </c>
      <c r="X64" s="7"/>
      <c r="Y64" s="7"/>
      <c r="Z64" s="7"/>
    </row>
    <row r="65" spans="1:26" ht="15.75" customHeight="1" x14ac:dyDescent="0.2">
      <c r="A65" s="17">
        <v>42072</v>
      </c>
      <c r="B65" s="18">
        <v>2</v>
      </c>
      <c r="C65" s="18" t="s">
        <v>17</v>
      </c>
      <c r="D65" s="19">
        <v>5147</v>
      </c>
      <c r="E65" s="44">
        <f t="shared" si="0"/>
        <v>5661.7000000000007</v>
      </c>
      <c r="F65" s="7">
        <f t="shared" si="1"/>
        <v>2</v>
      </c>
      <c r="G65" s="44">
        <f t="shared" si="2"/>
        <v>11323.400000000001</v>
      </c>
      <c r="H65" s="44" t="str">
        <f t="shared" si="3"/>
        <v>2015-03-09-2-B</v>
      </c>
      <c r="I65" s="20">
        <f>VLOOKUP(H65,'Historical Shipments'!$D$2:$E$10000,2,FALSE)</f>
        <v>17645.800000000003</v>
      </c>
      <c r="J65" s="20">
        <f t="shared" si="4"/>
        <v>19410.380000000005</v>
      </c>
      <c r="K65" s="44">
        <f t="shared" si="5"/>
        <v>30733.780000000006</v>
      </c>
      <c r="L65" s="40">
        <f t="array" ref="L65">INDEX('Carrier Rates'!$D$2:$D$1000, MATCH("X"&amp;"-"&amp;"B"&amp;"-"&amp;B65, 'Carrier Rates'!$E$2:$E$1000, 0))</f>
        <v>1200</v>
      </c>
      <c r="M65" s="45">
        <f t="array" ref="M65">INDEX('Carrier Rates'!$D$2:$D$1000, MATCH("Y"&amp;"-"&amp;"B"&amp;"-"&amp;B65, 'Carrier Rates'!$E$2:$E$1000, 0))</f>
        <v>0.06</v>
      </c>
      <c r="N65" s="40">
        <f t="shared" si="6"/>
        <v>1200</v>
      </c>
      <c r="O65" s="44">
        <f t="shared" si="7"/>
        <v>1844.0268000000003</v>
      </c>
      <c r="P65" s="44">
        <f t="shared" si="8"/>
        <v>1200</v>
      </c>
      <c r="Q65" s="7">
        <f t="shared" si="9"/>
        <v>0.82</v>
      </c>
      <c r="R65" s="44">
        <f t="shared" si="10"/>
        <v>4642.5940000000001</v>
      </c>
      <c r="S65" s="7"/>
      <c r="T65" s="7"/>
      <c r="U65" s="40">
        <f t="shared" si="11"/>
        <v>1200</v>
      </c>
      <c r="V65" s="43">
        <f t="shared" si="12"/>
        <v>1164.6228000000003</v>
      </c>
      <c r="W65" s="42">
        <f t="shared" si="13"/>
        <v>1164.6228000000003</v>
      </c>
      <c r="X65" s="7"/>
      <c r="Y65" s="7"/>
      <c r="Z65" s="7"/>
    </row>
    <row r="66" spans="1:26" ht="15.75" customHeight="1" x14ac:dyDescent="0.2">
      <c r="A66" s="17">
        <v>42079</v>
      </c>
      <c r="B66" s="18">
        <v>1</v>
      </c>
      <c r="C66" s="18" t="s">
        <v>17</v>
      </c>
      <c r="D66" s="19">
        <v>5042</v>
      </c>
      <c r="E66" s="44">
        <f t="shared" si="0"/>
        <v>5546.2000000000007</v>
      </c>
      <c r="F66" s="7">
        <f t="shared" si="1"/>
        <v>2</v>
      </c>
      <c r="G66" s="44">
        <f t="shared" si="2"/>
        <v>11092.400000000001</v>
      </c>
      <c r="H66" s="44" t="str">
        <f t="shared" si="3"/>
        <v>2015-03-16-1-B</v>
      </c>
      <c r="I66" s="20">
        <f>VLOOKUP(H66,'Historical Shipments'!$D$2:$E$10000,2,FALSE)</f>
        <v>16832.400000000001</v>
      </c>
      <c r="J66" s="20">
        <f t="shared" si="4"/>
        <v>18515.640000000003</v>
      </c>
      <c r="K66" s="44">
        <f t="shared" si="5"/>
        <v>29608.040000000005</v>
      </c>
      <c r="L66" s="40">
        <f t="array" ref="L66">INDEX('Carrier Rates'!$D$2:$D$1000, MATCH("X"&amp;"-"&amp;"B"&amp;"-"&amp;B66, 'Carrier Rates'!$E$2:$E$1000, 0))</f>
        <v>1200</v>
      </c>
      <c r="M66" s="45">
        <f t="array" ref="M66">INDEX('Carrier Rates'!$D$2:$D$1000, MATCH("Y"&amp;"-"&amp;"B"&amp;"-"&amp;B66, 'Carrier Rates'!$E$2:$E$1000, 0))</f>
        <v>7.0000000000000007E-2</v>
      </c>
      <c r="N66" s="40">
        <f t="shared" si="6"/>
        <v>1200</v>
      </c>
      <c r="O66" s="44">
        <f t="shared" si="7"/>
        <v>2072.5628000000006</v>
      </c>
      <c r="P66" s="44">
        <f t="shared" si="8"/>
        <v>1200</v>
      </c>
      <c r="Q66" s="7">
        <f t="shared" si="9"/>
        <v>0.82</v>
      </c>
      <c r="R66" s="44">
        <f t="shared" si="10"/>
        <v>4547.884</v>
      </c>
      <c r="S66" s="7"/>
      <c r="T66" s="7"/>
      <c r="U66" s="40">
        <f t="shared" si="11"/>
        <v>1200</v>
      </c>
      <c r="V66" s="43">
        <f t="shared" si="12"/>
        <v>1296.0948000000003</v>
      </c>
      <c r="W66" s="42">
        <f t="shared" si="13"/>
        <v>1200</v>
      </c>
      <c r="X66" s="7"/>
      <c r="Y66" s="7"/>
      <c r="Z66" s="7"/>
    </row>
    <row r="67" spans="1:26" ht="15.75" customHeight="1" x14ac:dyDescent="0.2">
      <c r="A67" s="17">
        <v>42079</v>
      </c>
      <c r="B67" s="18">
        <v>2</v>
      </c>
      <c r="C67" s="18" t="s">
        <v>17</v>
      </c>
      <c r="D67" s="19">
        <v>4232</v>
      </c>
      <c r="E67" s="44">
        <f t="shared" si="0"/>
        <v>4655.2000000000007</v>
      </c>
      <c r="F67" s="7">
        <f t="shared" si="1"/>
        <v>2</v>
      </c>
      <c r="G67" s="44">
        <f t="shared" si="2"/>
        <v>9310.4000000000015</v>
      </c>
      <c r="H67" s="44" t="str">
        <f t="shared" si="3"/>
        <v>2015-03-16-2-B</v>
      </c>
      <c r="I67" s="20">
        <f>VLOOKUP(H67,'Historical Shipments'!$D$2:$E$10000,2,FALSE)</f>
        <v>22758.600000000002</v>
      </c>
      <c r="J67" s="20">
        <f t="shared" si="4"/>
        <v>25034.460000000003</v>
      </c>
      <c r="K67" s="44">
        <f t="shared" si="5"/>
        <v>34344.86</v>
      </c>
      <c r="L67" s="40">
        <f t="array" ref="L67">INDEX('Carrier Rates'!$D$2:$D$1000, MATCH("X"&amp;"-"&amp;"B"&amp;"-"&amp;B67, 'Carrier Rates'!$E$2:$E$1000, 0))</f>
        <v>1200</v>
      </c>
      <c r="M67" s="45">
        <f t="array" ref="M67">INDEX('Carrier Rates'!$D$2:$D$1000, MATCH("Y"&amp;"-"&amp;"B"&amp;"-"&amp;B67, 'Carrier Rates'!$E$2:$E$1000, 0))</f>
        <v>0.06</v>
      </c>
      <c r="N67" s="40">
        <f t="shared" si="6"/>
        <v>1200</v>
      </c>
      <c r="O67" s="44">
        <f t="shared" si="7"/>
        <v>2060.6916000000001</v>
      </c>
      <c r="P67" s="44">
        <f t="shared" si="8"/>
        <v>1200</v>
      </c>
      <c r="Q67" s="7">
        <f t="shared" si="9"/>
        <v>0.82</v>
      </c>
      <c r="R67" s="44">
        <f t="shared" si="10"/>
        <v>3817.2640000000006</v>
      </c>
      <c r="S67" s="7"/>
      <c r="T67" s="7"/>
      <c r="U67" s="40">
        <f t="shared" si="11"/>
        <v>1200</v>
      </c>
      <c r="V67" s="43">
        <f t="shared" si="12"/>
        <v>1502.0676000000001</v>
      </c>
      <c r="W67" s="42">
        <f t="shared" si="13"/>
        <v>1200</v>
      </c>
      <c r="X67" s="7"/>
      <c r="Y67" s="7"/>
      <c r="Z67" s="7"/>
    </row>
    <row r="68" spans="1:26" ht="15.75" customHeight="1" x14ac:dyDescent="0.2">
      <c r="A68" s="17">
        <v>42086</v>
      </c>
      <c r="B68" s="18">
        <v>1</v>
      </c>
      <c r="C68" s="18" t="s">
        <v>17</v>
      </c>
      <c r="D68" s="19">
        <v>3806</v>
      </c>
      <c r="E68" s="44">
        <f t="shared" si="0"/>
        <v>4186.6000000000004</v>
      </c>
      <c r="F68" s="7">
        <f t="shared" si="1"/>
        <v>2</v>
      </c>
      <c r="G68" s="44">
        <f t="shared" si="2"/>
        <v>8373.2000000000007</v>
      </c>
      <c r="H68" s="44" t="str">
        <f t="shared" si="3"/>
        <v>2015-03-23-1-B</v>
      </c>
      <c r="I68" s="20">
        <f>VLOOKUP(H68,'Historical Shipments'!$D$2:$E$10000,2,FALSE)</f>
        <v>19280.900000000001</v>
      </c>
      <c r="J68" s="20">
        <f t="shared" si="4"/>
        <v>21208.99</v>
      </c>
      <c r="K68" s="44">
        <f t="shared" si="5"/>
        <v>29582.190000000002</v>
      </c>
      <c r="L68" s="40">
        <f t="array" ref="L68">INDEX('Carrier Rates'!$D$2:$D$1000, MATCH("X"&amp;"-"&amp;"B"&amp;"-"&amp;B68, 'Carrier Rates'!$E$2:$E$1000, 0))</f>
        <v>1200</v>
      </c>
      <c r="M68" s="45">
        <f t="array" ref="M68">INDEX('Carrier Rates'!$D$2:$D$1000, MATCH("Y"&amp;"-"&amp;"B"&amp;"-"&amp;B68, 'Carrier Rates'!$E$2:$E$1000, 0))</f>
        <v>7.0000000000000007E-2</v>
      </c>
      <c r="N68" s="40">
        <f t="shared" si="6"/>
        <v>1200</v>
      </c>
      <c r="O68" s="44">
        <f t="shared" si="7"/>
        <v>2070.7533000000003</v>
      </c>
      <c r="P68" s="44">
        <f t="shared" si="8"/>
        <v>1200</v>
      </c>
      <c r="Q68" s="7">
        <f t="shared" si="9"/>
        <v>0.82</v>
      </c>
      <c r="R68" s="44">
        <f t="shared" si="10"/>
        <v>3433.0120000000002</v>
      </c>
      <c r="S68" s="7"/>
      <c r="T68" s="7"/>
      <c r="U68" s="40">
        <f t="shared" si="11"/>
        <v>1200</v>
      </c>
      <c r="V68" s="43">
        <f t="shared" si="12"/>
        <v>1484.6293000000003</v>
      </c>
      <c r="W68" s="42">
        <f t="shared" si="13"/>
        <v>1200</v>
      </c>
      <c r="X68" s="7"/>
      <c r="Y68" s="7"/>
      <c r="Z68" s="7"/>
    </row>
    <row r="69" spans="1:26" ht="15.75" customHeight="1" x14ac:dyDescent="0.2">
      <c r="A69" s="17">
        <v>42086</v>
      </c>
      <c r="B69" s="18">
        <v>2</v>
      </c>
      <c r="C69" s="18" t="s">
        <v>17</v>
      </c>
      <c r="D69" s="19">
        <v>2819</v>
      </c>
      <c r="E69" s="44">
        <f t="shared" si="0"/>
        <v>3100.9</v>
      </c>
      <c r="F69" s="7">
        <f t="shared" si="1"/>
        <v>2</v>
      </c>
      <c r="G69" s="44">
        <f t="shared" si="2"/>
        <v>6201.8</v>
      </c>
      <c r="H69" s="44" t="str">
        <f t="shared" si="3"/>
        <v>2015-03-23-2-B</v>
      </c>
      <c r="I69" s="20">
        <f>VLOOKUP(H69,'Historical Shipments'!$D$2:$E$10000,2,FALSE)</f>
        <v>24003.600000000002</v>
      </c>
      <c r="J69" s="20">
        <f t="shared" si="4"/>
        <v>26403.960000000003</v>
      </c>
      <c r="K69" s="44">
        <f t="shared" si="5"/>
        <v>32605.760000000002</v>
      </c>
      <c r="L69" s="40">
        <f t="array" ref="L69">INDEX('Carrier Rates'!$D$2:$D$1000, MATCH("X"&amp;"-"&amp;"B"&amp;"-"&amp;B69, 'Carrier Rates'!$E$2:$E$1000, 0))</f>
        <v>1200</v>
      </c>
      <c r="M69" s="45">
        <f t="array" ref="M69">INDEX('Carrier Rates'!$D$2:$D$1000, MATCH("Y"&amp;"-"&amp;"B"&amp;"-"&amp;B69, 'Carrier Rates'!$E$2:$E$1000, 0))</f>
        <v>0.06</v>
      </c>
      <c r="N69" s="40">
        <f t="shared" si="6"/>
        <v>1200</v>
      </c>
      <c r="O69" s="44">
        <f t="shared" si="7"/>
        <v>1956.3456000000001</v>
      </c>
      <c r="P69" s="44">
        <f t="shared" si="8"/>
        <v>1200</v>
      </c>
      <c r="Q69" s="7">
        <f t="shared" si="9"/>
        <v>0.82</v>
      </c>
      <c r="R69" s="44">
        <f t="shared" si="10"/>
        <v>2542.7379999999998</v>
      </c>
      <c r="S69" s="7"/>
      <c r="T69" s="7"/>
      <c r="U69" s="40">
        <f t="shared" si="11"/>
        <v>1200</v>
      </c>
      <c r="V69" s="43">
        <f t="shared" si="12"/>
        <v>1584.2376000000002</v>
      </c>
      <c r="W69" s="42">
        <f t="shared" si="13"/>
        <v>1200</v>
      </c>
      <c r="X69" s="7"/>
      <c r="Y69" s="7"/>
      <c r="Z69" s="7"/>
    </row>
    <row r="70" spans="1:26" ht="15.75" customHeight="1" x14ac:dyDescent="0.2">
      <c r="A70" s="17">
        <v>42093</v>
      </c>
      <c r="B70" s="18">
        <v>1</v>
      </c>
      <c r="C70" s="18" t="s">
        <v>17</v>
      </c>
      <c r="D70" s="19">
        <v>4470</v>
      </c>
      <c r="E70" s="44">
        <f t="shared" si="0"/>
        <v>4917</v>
      </c>
      <c r="F70" s="7">
        <f t="shared" si="1"/>
        <v>2</v>
      </c>
      <c r="G70" s="44">
        <f t="shared" si="2"/>
        <v>9834</v>
      </c>
      <c r="H70" s="44" t="str">
        <f t="shared" si="3"/>
        <v>2015-03-30-1-B</v>
      </c>
      <c r="I70" s="20">
        <f>VLOOKUP(H70,'Historical Shipments'!$D$2:$E$10000,2,FALSE)</f>
        <v>18044.2</v>
      </c>
      <c r="J70" s="20">
        <f t="shared" si="4"/>
        <v>19848.620000000003</v>
      </c>
      <c r="K70" s="44">
        <f t="shared" si="5"/>
        <v>29682.620000000003</v>
      </c>
      <c r="L70" s="40">
        <f t="array" ref="L70">INDEX('Carrier Rates'!$D$2:$D$1000, MATCH("X"&amp;"-"&amp;"B"&amp;"-"&amp;B70, 'Carrier Rates'!$E$2:$E$1000, 0))</f>
        <v>1200</v>
      </c>
      <c r="M70" s="45">
        <f t="array" ref="M70">INDEX('Carrier Rates'!$D$2:$D$1000, MATCH("Y"&amp;"-"&amp;"B"&amp;"-"&amp;B70, 'Carrier Rates'!$E$2:$E$1000, 0))</f>
        <v>7.0000000000000007E-2</v>
      </c>
      <c r="N70" s="40">
        <f t="shared" si="6"/>
        <v>1200</v>
      </c>
      <c r="O70" s="44">
        <f t="shared" si="7"/>
        <v>2077.7834000000003</v>
      </c>
      <c r="P70" s="44">
        <f t="shared" si="8"/>
        <v>1200</v>
      </c>
      <c r="Q70" s="7">
        <f t="shared" si="9"/>
        <v>0.82</v>
      </c>
      <c r="R70" s="44">
        <f t="shared" si="10"/>
        <v>4031.9399999999996</v>
      </c>
      <c r="S70" s="7"/>
      <c r="T70" s="7"/>
      <c r="U70" s="40">
        <f t="shared" si="11"/>
        <v>1200</v>
      </c>
      <c r="V70" s="43">
        <f t="shared" si="12"/>
        <v>1389.4034000000004</v>
      </c>
      <c r="W70" s="42">
        <f t="shared" si="13"/>
        <v>1200</v>
      </c>
      <c r="X70" s="7"/>
      <c r="Y70" s="7"/>
      <c r="Z70" s="7"/>
    </row>
    <row r="71" spans="1:26" ht="15.75" customHeight="1" x14ac:dyDescent="0.2">
      <c r="A71" s="17">
        <v>42093</v>
      </c>
      <c r="B71" s="18">
        <v>2</v>
      </c>
      <c r="C71" s="18" t="s">
        <v>17</v>
      </c>
      <c r="D71" s="19">
        <v>2809</v>
      </c>
      <c r="E71" s="44">
        <f t="shared" si="0"/>
        <v>3089.9</v>
      </c>
      <c r="F71" s="7">
        <f t="shared" si="1"/>
        <v>2</v>
      </c>
      <c r="G71" s="44">
        <f t="shared" si="2"/>
        <v>6179.8</v>
      </c>
      <c r="H71" s="44" t="str">
        <f t="shared" si="3"/>
        <v>2015-03-30-2-B</v>
      </c>
      <c r="I71" s="20">
        <f>VLOOKUP(H71,'Historical Shipments'!$D$2:$E$10000,2,FALSE)</f>
        <v>24609.500000000004</v>
      </c>
      <c r="J71" s="20">
        <f t="shared" si="4"/>
        <v>27070.450000000008</v>
      </c>
      <c r="K71" s="44">
        <f t="shared" si="5"/>
        <v>33250.250000000007</v>
      </c>
      <c r="L71" s="40">
        <f t="array" ref="L71">INDEX('Carrier Rates'!$D$2:$D$1000, MATCH("X"&amp;"-"&amp;"B"&amp;"-"&amp;B71, 'Carrier Rates'!$E$2:$E$1000, 0))</f>
        <v>1200</v>
      </c>
      <c r="M71" s="45">
        <f t="array" ref="M71">INDEX('Carrier Rates'!$D$2:$D$1000, MATCH("Y"&amp;"-"&amp;"B"&amp;"-"&amp;B71, 'Carrier Rates'!$E$2:$E$1000, 0))</f>
        <v>0.06</v>
      </c>
      <c r="N71" s="40">
        <f t="shared" si="6"/>
        <v>1200</v>
      </c>
      <c r="O71" s="44">
        <f t="shared" si="7"/>
        <v>1995.0150000000003</v>
      </c>
      <c r="P71" s="44">
        <f t="shared" si="8"/>
        <v>1200</v>
      </c>
      <c r="Q71" s="7">
        <f t="shared" si="9"/>
        <v>0.82</v>
      </c>
      <c r="R71" s="44">
        <f t="shared" si="10"/>
        <v>2533.7179999999998</v>
      </c>
      <c r="S71" s="7"/>
      <c r="T71" s="7"/>
      <c r="U71" s="40">
        <f t="shared" si="11"/>
        <v>1200</v>
      </c>
      <c r="V71" s="43">
        <f t="shared" si="12"/>
        <v>1624.2270000000003</v>
      </c>
      <c r="W71" s="42">
        <f t="shared" si="13"/>
        <v>1200</v>
      </c>
      <c r="X71" s="7"/>
      <c r="Y71" s="7"/>
      <c r="Z71" s="7"/>
    </row>
    <row r="72" spans="1:26" ht="15.75" customHeight="1" x14ac:dyDescent="0.2">
      <c r="A72" s="17">
        <v>42100</v>
      </c>
      <c r="B72" s="18">
        <v>1</v>
      </c>
      <c r="C72" s="18" t="s">
        <v>17</v>
      </c>
      <c r="D72" s="19">
        <v>4799</v>
      </c>
      <c r="E72" s="44">
        <f t="shared" si="0"/>
        <v>5278.9000000000005</v>
      </c>
      <c r="F72" s="7">
        <f t="shared" si="1"/>
        <v>2</v>
      </c>
      <c r="G72" s="44">
        <f t="shared" si="2"/>
        <v>10557.800000000001</v>
      </c>
      <c r="H72" s="44" t="str">
        <f t="shared" si="3"/>
        <v>2015-04-06-1-B</v>
      </c>
      <c r="I72" s="20">
        <f>VLOOKUP(H72,'Historical Shipments'!$D$2:$E$10000,2,FALSE)</f>
        <v>17986.100000000002</v>
      </c>
      <c r="J72" s="20">
        <f t="shared" si="4"/>
        <v>19784.710000000003</v>
      </c>
      <c r="K72" s="44">
        <f t="shared" si="5"/>
        <v>30342.510000000002</v>
      </c>
      <c r="L72" s="40">
        <f t="array" ref="L72">INDEX('Carrier Rates'!$D$2:$D$1000, MATCH("X"&amp;"-"&amp;"B"&amp;"-"&amp;B72, 'Carrier Rates'!$E$2:$E$1000, 0))</f>
        <v>1200</v>
      </c>
      <c r="M72" s="45">
        <f t="array" ref="M72">INDEX('Carrier Rates'!$D$2:$D$1000, MATCH("Y"&amp;"-"&amp;"B"&amp;"-"&amp;B72, 'Carrier Rates'!$E$2:$E$1000, 0))</f>
        <v>7.0000000000000007E-2</v>
      </c>
      <c r="N72" s="40">
        <f t="shared" si="6"/>
        <v>1200</v>
      </c>
      <c r="O72" s="44">
        <f t="shared" si="7"/>
        <v>2123.9757000000004</v>
      </c>
      <c r="P72" s="44">
        <f t="shared" si="8"/>
        <v>1200</v>
      </c>
      <c r="Q72" s="7">
        <f t="shared" si="9"/>
        <v>0.82</v>
      </c>
      <c r="R72" s="44">
        <f t="shared" si="10"/>
        <v>4328.6980000000003</v>
      </c>
      <c r="S72" s="7"/>
      <c r="T72" s="7"/>
      <c r="U72" s="40">
        <f t="shared" si="11"/>
        <v>1200</v>
      </c>
      <c r="V72" s="43">
        <f t="shared" si="12"/>
        <v>1384.9297000000004</v>
      </c>
      <c r="W72" s="42">
        <f t="shared" si="13"/>
        <v>1200</v>
      </c>
      <c r="X72" s="7"/>
      <c r="Y72" s="7"/>
      <c r="Z72" s="7"/>
    </row>
    <row r="73" spans="1:26" ht="15.75" customHeight="1" x14ac:dyDescent="0.2">
      <c r="A73" s="17">
        <v>42100</v>
      </c>
      <c r="B73" s="18">
        <v>2</v>
      </c>
      <c r="C73" s="18" t="s">
        <v>17</v>
      </c>
      <c r="D73" s="19">
        <v>3712</v>
      </c>
      <c r="E73" s="44">
        <f t="shared" si="0"/>
        <v>4083.2000000000003</v>
      </c>
      <c r="F73" s="7">
        <f t="shared" si="1"/>
        <v>2</v>
      </c>
      <c r="G73" s="44">
        <f t="shared" si="2"/>
        <v>8166.4000000000005</v>
      </c>
      <c r="H73" s="44" t="str">
        <f t="shared" si="3"/>
        <v>2015-04-06-2-B</v>
      </c>
      <c r="I73" s="20">
        <f>VLOOKUP(H73,'Historical Shipments'!$D$2:$E$10000,2,FALSE)</f>
        <v>24543.100000000002</v>
      </c>
      <c r="J73" s="20">
        <f t="shared" si="4"/>
        <v>26997.410000000003</v>
      </c>
      <c r="K73" s="44">
        <f t="shared" si="5"/>
        <v>35163.810000000005</v>
      </c>
      <c r="L73" s="40">
        <f t="array" ref="L73">INDEX('Carrier Rates'!$D$2:$D$1000, MATCH("X"&amp;"-"&amp;"B"&amp;"-"&amp;B73, 'Carrier Rates'!$E$2:$E$1000, 0))</f>
        <v>1200</v>
      </c>
      <c r="M73" s="45">
        <f t="array" ref="M73">INDEX('Carrier Rates'!$D$2:$D$1000, MATCH("Y"&amp;"-"&amp;"B"&amp;"-"&amp;B73, 'Carrier Rates'!$E$2:$E$1000, 0))</f>
        <v>0.06</v>
      </c>
      <c r="N73" s="40">
        <f t="shared" si="6"/>
        <v>1200</v>
      </c>
      <c r="O73" s="44">
        <f t="shared" si="7"/>
        <v>2109.8286000000003</v>
      </c>
      <c r="P73" s="44">
        <f t="shared" si="8"/>
        <v>1200</v>
      </c>
      <c r="Q73" s="7">
        <f t="shared" si="9"/>
        <v>0.82</v>
      </c>
      <c r="R73" s="44">
        <f t="shared" si="10"/>
        <v>3348.2240000000002</v>
      </c>
      <c r="S73" s="7"/>
      <c r="T73" s="7"/>
      <c r="U73" s="40">
        <f t="shared" si="11"/>
        <v>1200</v>
      </c>
      <c r="V73" s="43">
        <f t="shared" si="12"/>
        <v>1619.8446000000001</v>
      </c>
      <c r="W73" s="42">
        <f t="shared" si="13"/>
        <v>1200</v>
      </c>
      <c r="X73" s="7"/>
      <c r="Y73" s="7"/>
      <c r="Z73" s="7"/>
    </row>
    <row r="74" spans="1:26" ht="15.75" customHeight="1" x14ac:dyDescent="0.2">
      <c r="A74" s="17">
        <v>42107</v>
      </c>
      <c r="B74" s="18">
        <v>1</v>
      </c>
      <c r="C74" s="18" t="s">
        <v>17</v>
      </c>
      <c r="D74" s="19">
        <v>4366</v>
      </c>
      <c r="E74" s="44">
        <f t="shared" si="0"/>
        <v>4802.6000000000004</v>
      </c>
      <c r="F74" s="7">
        <f t="shared" si="1"/>
        <v>2</v>
      </c>
      <c r="G74" s="44">
        <f t="shared" si="2"/>
        <v>9605.2000000000007</v>
      </c>
      <c r="H74" s="44" t="str">
        <f t="shared" si="3"/>
        <v>2015-04-13-1-B</v>
      </c>
      <c r="I74" s="20">
        <f>VLOOKUP(H74,'Historical Shipments'!$D$2:$E$10000,2,FALSE)</f>
        <v>17446.600000000002</v>
      </c>
      <c r="J74" s="20">
        <f t="shared" si="4"/>
        <v>19191.260000000006</v>
      </c>
      <c r="K74" s="44">
        <f t="shared" si="5"/>
        <v>28796.460000000006</v>
      </c>
      <c r="L74" s="40">
        <f t="array" ref="L74">INDEX('Carrier Rates'!$D$2:$D$1000, MATCH("X"&amp;"-"&amp;"B"&amp;"-"&amp;B74, 'Carrier Rates'!$E$2:$E$1000, 0))</f>
        <v>1200</v>
      </c>
      <c r="M74" s="45">
        <f t="array" ref="M74">INDEX('Carrier Rates'!$D$2:$D$1000, MATCH("Y"&amp;"-"&amp;"B"&amp;"-"&amp;B74, 'Carrier Rates'!$E$2:$E$1000, 0))</f>
        <v>7.0000000000000007E-2</v>
      </c>
      <c r="N74" s="40">
        <f t="shared" si="6"/>
        <v>1200</v>
      </c>
      <c r="O74" s="44">
        <f t="shared" si="7"/>
        <v>2015.7522000000006</v>
      </c>
      <c r="P74" s="44">
        <f t="shared" si="8"/>
        <v>1200</v>
      </c>
      <c r="Q74" s="7">
        <f t="shared" si="9"/>
        <v>0.82</v>
      </c>
      <c r="R74" s="44">
        <f t="shared" si="10"/>
        <v>3938.1320000000001</v>
      </c>
      <c r="S74" s="7"/>
      <c r="T74" s="7"/>
      <c r="U74" s="40">
        <f t="shared" si="11"/>
        <v>1200</v>
      </c>
      <c r="V74" s="43">
        <f t="shared" si="12"/>
        <v>1343.3882000000006</v>
      </c>
      <c r="W74" s="42">
        <f t="shared" si="13"/>
        <v>1200</v>
      </c>
      <c r="X74" s="7"/>
      <c r="Y74" s="7"/>
      <c r="Z74" s="7"/>
    </row>
    <row r="75" spans="1:26" ht="15.75" customHeight="1" x14ac:dyDescent="0.2">
      <c r="A75" s="17">
        <v>42107</v>
      </c>
      <c r="B75" s="18">
        <v>2</v>
      </c>
      <c r="C75" s="18" t="s">
        <v>17</v>
      </c>
      <c r="D75" s="19">
        <v>3318</v>
      </c>
      <c r="E75" s="44">
        <f t="shared" si="0"/>
        <v>3649.8</v>
      </c>
      <c r="F75" s="7">
        <f t="shared" si="1"/>
        <v>2</v>
      </c>
      <c r="G75" s="44">
        <f t="shared" si="2"/>
        <v>7299.6</v>
      </c>
      <c r="H75" s="44" t="str">
        <f t="shared" si="3"/>
        <v>2015-04-13-2-B</v>
      </c>
      <c r="I75" s="20">
        <f>VLOOKUP(H75,'Historical Shipments'!$D$2:$E$10000,2,FALSE)</f>
        <v>23704.800000000003</v>
      </c>
      <c r="J75" s="20">
        <f t="shared" si="4"/>
        <v>26075.280000000006</v>
      </c>
      <c r="K75" s="44">
        <f t="shared" si="5"/>
        <v>33374.880000000005</v>
      </c>
      <c r="L75" s="40">
        <f t="array" ref="L75">INDEX('Carrier Rates'!$D$2:$D$1000, MATCH("X"&amp;"-"&amp;"B"&amp;"-"&amp;B75, 'Carrier Rates'!$E$2:$E$1000, 0))</f>
        <v>1200</v>
      </c>
      <c r="M75" s="45">
        <f t="array" ref="M75">INDEX('Carrier Rates'!$D$2:$D$1000, MATCH("Y"&amp;"-"&amp;"B"&amp;"-"&amp;B75, 'Carrier Rates'!$E$2:$E$1000, 0))</f>
        <v>0.06</v>
      </c>
      <c r="N75" s="40">
        <f t="shared" si="6"/>
        <v>1200</v>
      </c>
      <c r="O75" s="44">
        <f t="shared" si="7"/>
        <v>2002.4928000000002</v>
      </c>
      <c r="P75" s="44">
        <f t="shared" si="8"/>
        <v>1200</v>
      </c>
      <c r="Q75" s="7">
        <f t="shared" si="9"/>
        <v>0.82</v>
      </c>
      <c r="R75" s="44">
        <f t="shared" si="10"/>
        <v>2992.8359999999998</v>
      </c>
      <c r="S75" s="7"/>
      <c r="T75" s="7"/>
      <c r="U75" s="40">
        <f t="shared" si="11"/>
        <v>1200</v>
      </c>
      <c r="V75" s="43">
        <f t="shared" si="12"/>
        <v>1564.5168000000003</v>
      </c>
      <c r="W75" s="42">
        <f t="shared" si="13"/>
        <v>1200</v>
      </c>
      <c r="X75" s="7"/>
      <c r="Y75" s="7"/>
      <c r="Z75" s="7"/>
    </row>
    <row r="76" spans="1:26" ht="15.75" customHeight="1" x14ac:dyDescent="0.2">
      <c r="A76" s="17">
        <v>42114</v>
      </c>
      <c r="B76" s="18">
        <v>1</v>
      </c>
      <c r="C76" s="18" t="s">
        <v>17</v>
      </c>
      <c r="D76" s="19">
        <v>4765</v>
      </c>
      <c r="E76" s="44">
        <f t="shared" si="0"/>
        <v>5241.5</v>
      </c>
      <c r="F76" s="7">
        <f t="shared" si="1"/>
        <v>2</v>
      </c>
      <c r="G76" s="44">
        <f t="shared" si="2"/>
        <v>10483</v>
      </c>
      <c r="H76" s="44" t="str">
        <f t="shared" si="3"/>
        <v>2015-04-20-1-B</v>
      </c>
      <c r="I76" s="20">
        <f>VLOOKUP(H76,'Historical Shipments'!$D$2:$E$10000,2,FALSE)</f>
        <v>17197.600000000002</v>
      </c>
      <c r="J76" s="20">
        <f t="shared" si="4"/>
        <v>18917.360000000004</v>
      </c>
      <c r="K76" s="44">
        <f t="shared" si="5"/>
        <v>29400.360000000004</v>
      </c>
      <c r="L76" s="40">
        <f t="array" ref="L76">INDEX('Carrier Rates'!$D$2:$D$1000, MATCH("X"&amp;"-"&amp;"B"&amp;"-"&amp;B76, 'Carrier Rates'!$E$2:$E$1000, 0))</f>
        <v>1200</v>
      </c>
      <c r="M76" s="45">
        <f t="array" ref="M76">INDEX('Carrier Rates'!$D$2:$D$1000, MATCH("Y"&amp;"-"&amp;"B"&amp;"-"&amp;B76, 'Carrier Rates'!$E$2:$E$1000, 0))</f>
        <v>7.0000000000000007E-2</v>
      </c>
      <c r="N76" s="40">
        <f t="shared" si="6"/>
        <v>1200</v>
      </c>
      <c r="O76" s="44">
        <f t="shared" si="7"/>
        <v>2058.0252000000005</v>
      </c>
      <c r="P76" s="44">
        <f t="shared" si="8"/>
        <v>1200</v>
      </c>
      <c r="Q76" s="7">
        <f t="shared" si="9"/>
        <v>0.82</v>
      </c>
      <c r="R76" s="44">
        <f t="shared" si="10"/>
        <v>4298.03</v>
      </c>
      <c r="S76" s="7"/>
      <c r="T76" s="7"/>
      <c r="U76" s="40">
        <f t="shared" si="11"/>
        <v>1200</v>
      </c>
      <c r="V76" s="43">
        <f t="shared" si="12"/>
        <v>1324.2152000000003</v>
      </c>
      <c r="W76" s="42">
        <f t="shared" si="13"/>
        <v>1200</v>
      </c>
      <c r="X76" s="7"/>
      <c r="Y76" s="7"/>
      <c r="Z76" s="7"/>
    </row>
    <row r="77" spans="1:26" ht="15.75" customHeight="1" x14ac:dyDescent="0.2">
      <c r="A77" s="17">
        <v>42114</v>
      </c>
      <c r="B77" s="18">
        <v>2</v>
      </c>
      <c r="C77" s="18" t="s">
        <v>17</v>
      </c>
      <c r="D77" s="19">
        <v>3689</v>
      </c>
      <c r="E77" s="44">
        <f t="shared" si="0"/>
        <v>4057.9000000000005</v>
      </c>
      <c r="F77" s="7">
        <f t="shared" si="1"/>
        <v>2</v>
      </c>
      <c r="G77" s="44">
        <f t="shared" si="2"/>
        <v>8115.8000000000011</v>
      </c>
      <c r="H77" s="44" t="str">
        <f t="shared" si="3"/>
        <v>2015-04-20-2-B</v>
      </c>
      <c r="I77" s="20">
        <f>VLOOKUP(H77,'Historical Shipments'!$D$2:$E$10000,2,FALSE)</f>
        <v>23347.9</v>
      </c>
      <c r="J77" s="20">
        <f t="shared" si="4"/>
        <v>25682.690000000002</v>
      </c>
      <c r="K77" s="44">
        <f t="shared" si="5"/>
        <v>33798.490000000005</v>
      </c>
      <c r="L77" s="40">
        <f t="array" ref="L77">INDEX('Carrier Rates'!$D$2:$D$1000, MATCH("X"&amp;"-"&amp;"B"&amp;"-"&amp;B77, 'Carrier Rates'!$E$2:$E$1000, 0))</f>
        <v>1200</v>
      </c>
      <c r="M77" s="45">
        <f t="array" ref="M77">INDEX('Carrier Rates'!$D$2:$D$1000, MATCH("Y"&amp;"-"&amp;"B"&amp;"-"&amp;B77, 'Carrier Rates'!$E$2:$E$1000, 0))</f>
        <v>0.06</v>
      </c>
      <c r="N77" s="40">
        <f t="shared" si="6"/>
        <v>1200</v>
      </c>
      <c r="O77" s="44">
        <f t="shared" si="7"/>
        <v>2027.9094000000002</v>
      </c>
      <c r="P77" s="44">
        <f t="shared" si="8"/>
        <v>1200</v>
      </c>
      <c r="Q77" s="7">
        <f t="shared" si="9"/>
        <v>0.82</v>
      </c>
      <c r="R77" s="44">
        <f t="shared" si="10"/>
        <v>3327.4780000000001</v>
      </c>
      <c r="S77" s="7"/>
      <c r="T77" s="7"/>
      <c r="U77" s="40">
        <f t="shared" si="11"/>
        <v>1200</v>
      </c>
      <c r="V77" s="43">
        <f t="shared" si="12"/>
        <v>1540.9614000000001</v>
      </c>
      <c r="W77" s="42">
        <f t="shared" si="13"/>
        <v>1200</v>
      </c>
      <c r="X77" s="7"/>
      <c r="Y77" s="7"/>
      <c r="Z77" s="7"/>
    </row>
    <row r="78" spans="1:26" ht="15.75" customHeight="1" x14ac:dyDescent="0.2">
      <c r="A78" s="17">
        <v>42121</v>
      </c>
      <c r="B78" s="18">
        <v>1</v>
      </c>
      <c r="C78" s="18" t="s">
        <v>17</v>
      </c>
      <c r="D78" s="19">
        <v>5134</v>
      </c>
      <c r="E78" s="44">
        <f t="shared" si="0"/>
        <v>5647.4000000000005</v>
      </c>
      <c r="F78" s="7">
        <f t="shared" si="1"/>
        <v>2</v>
      </c>
      <c r="G78" s="44">
        <f t="shared" si="2"/>
        <v>11294.800000000001</v>
      </c>
      <c r="H78" s="44" t="str">
        <f t="shared" si="3"/>
        <v>2015-04-27-1-B</v>
      </c>
      <c r="I78" s="20">
        <f>VLOOKUP(H78,'Historical Shipments'!$D$2:$E$10000,2,FALSE)</f>
        <v>16757.7</v>
      </c>
      <c r="J78" s="20">
        <f t="shared" si="4"/>
        <v>18433.47</v>
      </c>
      <c r="K78" s="44">
        <f t="shared" si="5"/>
        <v>29728.270000000004</v>
      </c>
      <c r="L78" s="40">
        <f t="array" ref="L78">INDEX('Carrier Rates'!$D$2:$D$1000, MATCH("X"&amp;"-"&amp;"B"&amp;"-"&amp;B78, 'Carrier Rates'!$E$2:$E$1000, 0))</f>
        <v>1200</v>
      </c>
      <c r="M78" s="45">
        <f t="array" ref="M78">INDEX('Carrier Rates'!$D$2:$D$1000, MATCH("Y"&amp;"-"&amp;"B"&amp;"-"&amp;B78, 'Carrier Rates'!$E$2:$E$1000, 0))</f>
        <v>7.0000000000000007E-2</v>
      </c>
      <c r="N78" s="40">
        <f t="shared" si="6"/>
        <v>1200</v>
      </c>
      <c r="O78" s="44">
        <f t="shared" si="7"/>
        <v>2080.9789000000005</v>
      </c>
      <c r="P78" s="44">
        <f t="shared" si="8"/>
        <v>1200</v>
      </c>
      <c r="Q78" s="7">
        <f t="shared" si="9"/>
        <v>0.82</v>
      </c>
      <c r="R78" s="44">
        <f t="shared" si="10"/>
        <v>4630.8680000000004</v>
      </c>
      <c r="S78" s="7"/>
      <c r="T78" s="7"/>
      <c r="U78" s="40">
        <f t="shared" si="11"/>
        <v>1200</v>
      </c>
      <c r="V78" s="43">
        <f t="shared" si="12"/>
        <v>1290.3429000000001</v>
      </c>
      <c r="W78" s="42">
        <f t="shared" si="13"/>
        <v>1200</v>
      </c>
      <c r="X78" s="7"/>
      <c r="Y78" s="7"/>
      <c r="Z78" s="7"/>
    </row>
    <row r="79" spans="1:26" ht="15.75" customHeight="1" x14ac:dyDescent="0.2">
      <c r="A79" s="17">
        <v>42121</v>
      </c>
      <c r="B79" s="18">
        <v>2</v>
      </c>
      <c r="C79" s="18" t="s">
        <v>17</v>
      </c>
      <c r="D79" s="19">
        <v>3406</v>
      </c>
      <c r="E79" s="44">
        <f t="shared" si="0"/>
        <v>3746.6000000000004</v>
      </c>
      <c r="F79" s="7">
        <f t="shared" si="1"/>
        <v>2</v>
      </c>
      <c r="G79" s="44">
        <f t="shared" si="2"/>
        <v>7493.2000000000007</v>
      </c>
      <c r="H79" s="44" t="str">
        <f t="shared" si="3"/>
        <v>2015-04-27-2-B</v>
      </c>
      <c r="I79" s="20">
        <f>VLOOKUP(H79,'Historical Shipments'!$D$2:$E$10000,2,FALSE)</f>
        <v>20210.5</v>
      </c>
      <c r="J79" s="20">
        <f t="shared" si="4"/>
        <v>22231.550000000003</v>
      </c>
      <c r="K79" s="44">
        <f t="shared" si="5"/>
        <v>29724.750000000004</v>
      </c>
      <c r="L79" s="40">
        <f t="array" ref="L79">INDEX('Carrier Rates'!$D$2:$D$1000, MATCH("X"&amp;"-"&amp;"B"&amp;"-"&amp;B79, 'Carrier Rates'!$E$2:$E$1000, 0))</f>
        <v>1200</v>
      </c>
      <c r="M79" s="45">
        <f t="array" ref="M79">INDEX('Carrier Rates'!$D$2:$D$1000, MATCH("Y"&amp;"-"&amp;"B"&amp;"-"&amp;B79, 'Carrier Rates'!$E$2:$E$1000, 0))</f>
        <v>0.06</v>
      </c>
      <c r="N79" s="40">
        <f t="shared" si="6"/>
        <v>1200</v>
      </c>
      <c r="O79" s="44">
        <f t="shared" si="7"/>
        <v>1783.4850000000001</v>
      </c>
      <c r="P79" s="44">
        <f t="shared" si="8"/>
        <v>1200</v>
      </c>
      <c r="Q79" s="7">
        <f t="shared" si="9"/>
        <v>0.82</v>
      </c>
      <c r="R79" s="44">
        <f t="shared" si="10"/>
        <v>3072.212</v>
      </c>
      <c r="S79" s="7"/>
      <c r="T79" s="7"/>
      <c r="U79" s="40">
        <f t="shared" si="11"/>
        <v>1200</v>
      </c>
      <c r="V79" s="43">
        <f t="shared" si="12"/>
        <v>1333.893</v>
      </c>
      <c r="W79" s="42">
        <f t="shared" si="13"/>
        <v>1200</v>
      </c>
      <c r="X79" s="7"/>
      <c r="Y79" s="7"/>
      <c r="Z79" s="7"/>
    </row>
    <row r="80" spans="1:26" ht="15.75" customHeight="1" x14ac:dyDescent="0.2">
      <c r="A80" s="17">
        <v>42128</v>
      </c>
      <c r="B80" s="18">
        <v>1</v>
      </c>
      <c r="C80" s="18" t="s">
        <v>17</v>
      </c>
      <c r="D80" s="19">
        <v>4802</v>
      </c>
      <c r="E80" s="44">
        <f t="shared" si="0"/>
        <v>5282.2000000000007</v>
      </c>
      <c r="F80" s="7">
        <f t="shared" si="1"/>
        <v>2</v>
      </c>
      <c r="G80" s="44">
        <f t="shared" si="2"/>
        <v>10564.400000000001</v>
      </c>
      <c r="H80" s="44" t="str">
        <f t="shared" si="3"/>
        <v>2015-05-04-1-B</v>
      </c>
      <c r="I80" s="20">
        <f>VLOOKUP(H80,'Historical Shipments'!$D$2:$E$10000,2,FALSE)</f>
        <v>20102.600000000002</v>
      </c>
      <c r="J80" s="20">
        <f t="shared" si="4"/>
        <v>22112.860000000004</v>
      </c>
      <c r="K80" s="44">
        <f t="shared" si="5"/>
        <v>32677.260000000006</v>
      </c>
      <c r="L80" s="40">
        <f t="array" ref="L80">INDEX('Carrier Rates'!$D$2:$D$1000, MATCH("X"&amp;"-"&amp;"B"&amp;"-"&amp;B80, 'Carrier Rates'!$E$2:$E$1000, 0))</f>
        <v>1200</v>
      </c>
      <c r="M80" s="45">
        <f t="array" ref="M80">INDEX('Carrier Rates'!$D$2:$D$1000, MATCH("Y"&amp;"-"&amp;"B"&amp;"-"&amp;B80, 'Carrier Rates'!$E$2:$E$1000, 0))</f>
        <v>7.0000000000000007E-2</v>
      </c>
      <c r="N80" s="40">
        <f t="shared" si="6"/>
        <v>1200</v>
      </c>
      <c r="O80" s="44">
        <f t="shared" si="7"/>
        <v>2287.4082000000008</v>
      </c>
      <c r="P80" s="44">
        <f t="shared" si="8"/>
        <v>1200</v>
      </c>
      <c r="Q80" s="7">
        <f t="shared" si="9"/>
        <v>0.82</v>
      </c>
      <c r="R80" s="44">
        <f t="shared" si="10"/>
        <v>4331.4040000000005</v>
      </c>
      <c r="S80" s="7"/>
      <c r="T80" s="7"/>
      <c r="U80" s="40">
        <f t="shared" si="11"/>
        <v>1200</v>
      </c>
      <c r="V80" s="43">
        <f t="shared" si="12"/>
        <v>1547.9002000000005</v>
      </c>
      <c r="W80" s="42">
        <f t="shared" si="13"/>
        <v>1200</v>
      </c>
      <c r="X80" s="7"/>
      <c r="Y80" s="7"/>
      <c r="Z80" s="7"/>
    </row>
    <row r="81" spans="1:26" ht="15.75" customHeight="1" x14ac:dyDescent="0.2">
      <c r="A81" s="17">
        <v>42128</v>
      </c>
      <c r="B81" s="18">
        <v>2</v>
      </c>
      <c r="C81" s="18" t="s">
        <v>17</v>
      </c>
      <c r="D81" s="19">
        <v>3714</v>
      </c>
      <c r="E81" s="44">
        <f t="shared" si="0"/>
        <v>4085.4000000000005</v>
      </c>
      <c r="F81" s="7">
        <f t="shared" si="1"/>
        <v>2</v>
      </c>
      <c r="G81" s="44">
        <f t="shared" si="2"/>
        <v>8170.8000000000011</v>
      </c>
      <c r="H81" s="44" t="str">
        <f t="shared" si="3"/>
        <v>2015-05-04-2-B</v>
      </c>
      <c r="I81" s="20">
        <f>VLOOKUP(H81,'Historical Shipments'!$D$2:$E$10000,2,FALSE)</f>
        <v>22742.000000000004</v>
      </c>
      <c r="J81" s="20">
        <f t="shared" si="4"/>
        <v>25016.200000000004</v>
      </c>
      <c r="K81" s="44">
        <f t="shared" si="5"/>
        <v>33187.000000000007</v>
      </c>
      <c r="L81" s="40">
        <f t="array" ref="L81">INDEX('Carrier Rates'!$D$2:$D$1000, MATCH("X"&amp;"-"&amp;"B"&amp;"-"&amp;B81, 'Carrier Rates'!$E$2:$E$1000, 0))</f>
        <v>1200</v>
      </c>
      <c r="M81" s="45">
        <f t="array" ref="M81">INDEX('Carrier Rates'!$D$2:$D$1000, MATCH("Y"&amp;"-"&amp;"B"&amp;"-"&amp;B81, 'Carrier Rates'!$E$2:$E$1000, 0))</f>
        <v>0.06</v>
      </c>
      <c r="N81" s="40">
        <f t="shared" si="6"/>
        <v>1200</v>
      </c>
      <c r="O81" s="44">
        <f t="shared" si="7"/>
        <v>1991.2200000000003</v>
      </c>
      <c r="P81" s="44">
        <f t="shared" si="8"/>
        <v>1200</v>
      </c>
      <c r="Q81" s="7">
        <f t="shared" si="9"/>
        <v>0.82</v>
      </c>
      <c r="R81" s="44">
        <f t="shared" si="10"/>
        <v>3350.0280000000002</v>
      </c>
      <c r="S81" s="7"/>
      <c r="T81" s="7"/>
      <c r="U81" s="40">
        <f t="shared" si="11"/>
        <v>1200</v>
      </c>
      <c r="V81" s="43">
        <f t="shared" si="12"/>
        <v>1500.9720000000002</v>
      </c>
      <c r="W81" s="42">
        <f t="shared" si="13"/>
        <v>1200</v>
      </c>
      <c r="X81" s="7"/>
      <c r="Y81" s="7"/>
      <c r="Z81" s="7"/>
    </row>
    <row r="82" spans="1:26" ht="15.75" customHeight="1" x14ac:dyDescent="0.2">
      <c r="A82" s="17">
        <v>42135</v>
      </c>
      <c r="B82" s="18">
        <v>1</v>
      </c>
      <c r="C82" s="18" t="s">
        <v>17</v>
      </c>
      <c r="D82" s="19">
        <v>5394</v>
      </c>
      <c r="E82" s="44">
        <f t="shared" si="0"/>
        <v>5933.4000000000005</v>
      </c>
      <c r="F82" s="7">
        <f t="shared" si="1"/>
        <v>2</v>
      </c>
      <c r="G82" s="44">
        <f t="shared" si="2"/>
        <v>11866.800000000001</v>
      </c>
      <c r="H82" s="44" t="str">
        <f t="shared" si="3"/>
        <v>2015-05-11-1-B</v>
      </c>
      <c r="I82" s="20">
        <f>VLOOKUP(H82,'Historical Shipments'!$D$2:$E$10000,2,FALSE)</f>
        <v>20268.600000000002</v>
      </c>
      <c r="J82" s="20">
        <f t="shared" si="4"/>
        <v>22295.460000000003</v>
      </c>
      <c r="K82" s="44">
        <f t="shared" si="5"/>
        <v>34162.26</v>
      </c>
      <c r="L82" s="40">
        <f t="array" ref="L82">INDEX('Carrier Rates'!$D$2:$D$1000, MATCH("X"&amp;"-"&amp;"B"&amp;"-"&amp;B82, 'Carrier Rates'!$E$2:$E$1000, 0))</f>
        <v>1200</v>
      </c>
      <c r="M82" s="45">
        <f t="array" ref="M82">INDEX('Carrier Rates'!$D$2:$D$1000, MATCH("Y"&amp;"-"&amp;"B"&amp;"-"&amp;B82, 'Carrier Rates'!$E$2:$E$1000, 0))</f>
        <v>7.0000000000000007E-2</v>
      </c>
      <c r="N82" s="40">
        <f t="shared" si="6"/>
        <v>1200</v>
      </c>
      <c r="O82" s="44">
        <f t="shared" si="7"/>
        <v>2391.3582000000006</v>
      </c>
      <c r="P82" s="44">
        <f t="shared" si="8"/>
        <v>1200</v>
      </c>
      <c r="Q82" s="7">
        <f t="shared" si="9"/>
        <v>0.82</v>
      </c>
      <c r="R82" s="44">
        <f t="shared" si="10"/>
        <v>4865.3879999999999</v>
      </c>
      <c r="S82" s="7"/>
      <c r="T82" s="7"/>
      <c r="U82" s="40">
        <f t="shared" si="11"/>
        <v>1200</v>
      </c>
      <c r="V82" s="43">
        <f t="shared" si="12"/>
        <v>1560.6822000000004</v>
      </c>
      <c r="W82" s="42">
        <f t="shared" si="13"/>
        <v>1200</v>
      </c>
      <c r="X82" s="7"/>
      <c r="Y82" s="7"/>
      <c r="Z82" s="7"/>
    </row>
    <row r="83" spans="1:26" ht="15.75" customHeight="1" x14ac:dyDescent="0.2">
      <c r="A83" s="17">
        <v>42135</v>
      </c>
      <c r="B83" s="18">
        <v>2</v>
      </c>
      <c r="C83" s="18" t="s">
        <v>17</v>
      </c>
      <c r="D83" s="19">
        <v>3944</v>
      </c>
      <c r="E83" s="44">
        <f t="shared" si="0"/>
        <v>4338.4000000000005</v>
      </c>
      <c r="F83" s="7">
        <f t="shared" si="1"/>
        <v>2</v>
      </c>
      <c r="G83" s="44">
        <f t="shared" si="2"/>
        <v>8676.8000000000011</v>
      </c>
      <c r="H83" s="44" t="str">
        <f t="shared" si="3"/>
        <v>2015-05-11-2-B</v>
      </c>
      <c r="I83" s="20">
        <f>VLOOKUP(H83,'Historical Shipments'!$D$2:$E$10000,2,FALSE)</f>
        <v>25489.300000000003</v>
      </c>
      <c r="J83" s="20">
        <f t="shared" si="4"/>
        <v>28038.230000000007</v>
      </c>
      <c r="K83" s="44">
        <f t="shared" si="5"/>
        <v>36715.030000000006</v>
      </c>
      <c r="L83" s="40">
        <f t="array" ref="L83">INDEX('Carrier Rates'!$D$2:$D$1000, MATCH("X"&amp;"-"&amp;"B"&amp;"-"&amp;B83, 'Carrier Rates'!$E$2:$E$1000, 0))</f>
        <v>1200</v>
      </c>
      <c r="M83" s="45">
        <f t="array" ref="M83">INDEX('Carrier Rates'!$D$2:$D$1000, MATCH("Y"&amp;"-"&amp;"B"&amp;"-"&amp;B83, 'Carrier Rates'!$E$2:$E$1000, 0))</f>
        <v>0.06</v>
      </c>
      <c r="N83" s="40">
        <f t="shared" si="6"/>
        <v>1200</v>
      </c>
      <c r="O83" s="44">
        <f t="shared" si="7"/>
        <v>2202.9018000000001</v>
      </c>
      <c r="P83" s="44">
        <f t="shared" si="8"/>
        <v>1200</v>
      </c>
      <c r="Q83" s="7">
        <f t="shared" si="9"/>
        <v>0.82</v>
      </c>
      <c r="R83" s="44">
        <f t="shared" si="10"/>
        <v>3557.4880000000003</v>
      </c>
      <c r="S83" s="7"/>
      <c r="T83" s="7"/>
      <c r="U83" s="40">
        <f t="shared" si="11"/>
        <v>1200</v>
      </c>
      <c r="V83" s="43">
        <f t="shared" si="12"/>
        <v>1682.2938000000004</v>
      </c>
      <c r="W83" s="42">
        <f t="shared" si="13"/>
        <v>1200</v>
      </c>
      <c r="X83" s="7"/>
      <c r="Y83" s="7"/>
      <c r="Z83" s="7"/>
    </row>
    <row r="84" spans="1:26" ht="15.75" customHeight="1" x14ac:dyDescent="0.2">
      <c r="A84" s="17">
        <v>42142</v>
      </c>
      <c r="B84" s="18">
        <v>1</v>
      </c>
      <c r="C84" s="18" t="s">
        <v>17</v>
      </c>
      <c r="D84" s="19">
        <v>5205</v>
      </c>
      <c r="E84" s="44">
        <f t="shared" si="0"/>
        <v>5725.5000000000009</v>
      </c>
      <c r="F84" s="7">
        <f t="shared" si="1"/>
        <v>2</v>
      </c>
      <c r="G84" s="44">
        <f t="shared" si="2"/>
        <v>11451.000000000002</v>
      </c>
      <c r="H84" s="44" t="str">
        <f t="shared" si="3"/>
        <v>2015-05-18-1-B</v>
      </c>
      <c r="I84" s="20">
        <f>VLOOKUP(H84,'Historical Shipments'!$D$2:$E$10000,2,FALSE)</f>
        <v>18268.300000000003</v>
      </c>
      <c r="J84" s="20">
        <f t="shared" si="4"/>
        <v>20095.130000000005</v>
      </c>
      <c r="K84" s="44">
        <f t="shared" si="5"/>
        <v>31546.130000000005</v>
      </c>
      <c r="L84" s="40">
        <f t="array" ref="L84">INDEX('Carrier Rates'!$D$2:$D$1000, MATCH("X"&amp;"-"&amp;"B"&amp;"-"&amp;B84, 'Carrier Rates'!$E$2:$E$1000, 0))</f>
        <v>1200</v>
      </c>
      <c r="M84" s="45">
        <f t="array" ref="M84">INDEX('Carrier Rates'!$D$2:$D$1000, MATCH("Y"&amp;"-"&amp;"B"&amp;"-"&amp;B84, 'Carrier Rates'!$E$2:$E$1000, 0))</f>
        <v>7.0000000000000007E-2</v>
      </c>
      <c r="N84" s="40">
        <f t="shared" si="6"/>
        <v>1200</v>
      </c>
      <c r="O84" s="44">
        <f t="shared" si="7"/>
        <v>2208.2291000000005</v>
      </c>
      <c r="P84" s="44">
        <f t="shared" si="8"/>
        <v>1200</v>
      </c>
      <c r="Q84" s="7">
        <f t="shared" si="9"/>
        <v>0.82</v>
      </c>
      <c r="R84" s="44">
        <f t="shared" si="10"/>
        <v>4694.9100000000008</v>
      </c>
      <c r="S84" s="7"/>
      <c r="T84" s="7"/>
      <c r="U84" s="40">
        <f t="shared" si="11"/>
        <v>1200</v>
      </c>
      <c r="V84" s="43">
        <f t="shared" si="12"/>
        <v>1406.6591000000005</v>
      </c>
      <c r="W84" s="42">
        <f t="shared" si="13"/>
        <v>1200</v>
      </c>
      <c r="X84" s="7"/>
      <c r="Y84" s="7"/>
      <c r="Z84" s="7"/>
    </row>
    <row r="85" spans="1:26" ht="15.75" customHeight="1" x14ac:dyDescent="0.2">
      <c r="A85" s="17">
        <v>42142</v>
      </c>
      <c r="B85" s="18">
        <v>2</v>
      </c>
      <c r="C85" s="18" t="s">
        <v>17</v>
      </c>
      <c r="D85" s="19">
        <v>3778</v>
      </c>
      <c r="E85" s="44">
        <f t="shared" si="0"/>
        <v>4155.8</v>
      </c>
      <c r="F85" s="7">
        <f t="shared" si="1"/>
        <v>2</v>
      </c>
      <c r="G85" s="44">
        <f t="shared" si="2"/>
        <v>8311.6</v>
      </c>
      <c r="H85" s="44" t="str">
        <f t="shared" si="3"/>
        <v>2015-05-18-2-B</v>
      </c>
      <c r="I85" s="20">
        <f>VLOOKUP(H85,'Historical Shipments'!$D$2:$E$10000,2,FALSE)</f>
        <v>24949.800000000003</v>
      </c>
      <c r="J85" s="20">
        <f t="shared" si="4"/>
        <v>27444.780000000006</v>
      </c>
      <c r="K85" s="44">
        <f t="shared" si="5"/>
        <v>35756.380000000005</v>
      </c>
      <c r="L85" s="40">
        <f t="array" ref="L85">INDEX('Carrier Rates'!$D$2:$D$1000, MATCH("X"&amp;"-"&amp;"B"&amp;"-"&amp;B85, 'Carrier Rates'!$E$2:$E$1000, 0))</f>
        <v>1200</v>
      </c>
      <c r="M85" s="45">
        <f t="array" ref="M85">INDEX('Carrier Rates'!$D$2:$D$1000, MATCH("Y"&amp;"-"&amp;"B"&amp;"-"&amp;B85, 'Carrier Rates'!$E$2:$E$1000, 0))</f>
        <v>0.06</v>
      </c>
      <c r="N85" s="40">
        <f t="shared" si="6"/>
        <v>1200</v>
      </c>
      <c r="O85" s="44">
        <f t="shared" si="7"/>
        <v>2145.3828000000003</v>
      </c>
      <c r="P85" s="44">
        <f t="shared" si="8"/>
        <v>1200</v>
      </c>
      <c r="Q85" s="7">
        <f t="shared" si="9"/>
        <v>0.82</v>
      </c>
      <c r="R85" s="44">
        <f t="shared" si="10"/>
        <v>3407.7559999999999</v>
      </c>
      <c r="S85" s="7"/>
      <c r="T85" s="7"/>
      <c r="U85" s="40">
        <f t="shared" si="11"/>
        <v>1200</v>
      </c>
      <c r="V85" s="43">
        <f t="shared" si="12"/>
        <v>1646.6868000000004</v>
      </c>
      <c r="W85" s="42">
        <f t="shared" si="13"/>
        <v>1200</v>
      </c>
      <c r="X85" s="7"/>
      <c r="Y85" s="7"/>
      <c r="Z85" s="7"/>
    </row>
    <row r="86" spans="1:26" ht="15.75" customHeight="1" x14ac:dyDescent="0.2">
      <c r="A86" s="17">
        <v>42149</v>
      </c>
      <c r="B86" s="18">
        <v>1</v>
      </c>
      <c r="C86" s="18" t="s">
        <v>17</v>
      </c>
      <c r="D86" s="19">
        <v>5253</v>
      </c>
      <c r="E86" s="44">
        <f t="shared" si="0"/>
        <v>5778.3</v>
      </c>
      <c r="F86" s="7">
        <f t="shared" si="1"/>
        <v>2</v>
      </c>
      <c r="G86" s="44">
        <f t="shared" si="2"/>
        <v>11556.6</v>
      </c>
      <c r="H86" s="44" t="str">
        <f t="shared" si="3"/>
        <v>2015-05-25-1-B</v>
      </c>
      <c r="I86" s="20">
        <f>VLOOKUP(H86,'Historical Shipments'!$D$2:$E$10000,2,FALSE)</f>
        <v>18998.7</v>
      </c>
      <c r="J86" s="20">
        <f t="shared" si="4"/>
        <v>20898.570000000003</v>
      </c>
      <c r="K86" s="44">
        <f t="shared" si="5"/>
        <v>32455.170000000006</v>
      </c>
      <c r="L86" s="40">
        <f t="array" ref="L86">INDEX('Carrier Rates'!$D$2:$D$1000, MATCH("X"&amp;"-"&amp;"B"&amp;"-"&amp;B86, 'Carrier Rates'!$E$2:$E$1000, 0))</f>
        <v>1200</v>
      </c>
      <c r="M86" s="45">
        <f t="array" ref="M86">INDEX('Carrier Rates'!$D$2:$D$1000, MATCH("Y"&amp;"-"&amp;"B"&amp;"-"&amp;B86, 'Carrier Rates'!$E$2:$E$1000, 0))</f>
        <v>7.0000000000000007E-2</v>
      </c>
      <c r="N86" s="40">
        <f t="shared" si="6"/>
        <v>1200</v>
      </c>
      <c r="O86" s="44">
        <f t="shared" si="7"/>
        <v>2271.8619000000008</v>
      </c>
      <c r="P86" s="44">
        <f t="shared" si="8"/>
        <v>1200</v>
      </c>
      <c r="Q86" s="7">
        <f t="shared" si="9"/>
        <v>0.82</v>
      </c>
      <c r="R86" s="44">
        <f t="shared" si="10"/>
        <v>4738.2060000000001</v>
      </c>
      <c r="S86" s="7"/>
      <c r="T86" s="7"/>
      <c r="U86" s="40">
        <f t="shared" si="11"/>
        <v>1200</v>
      </c>
      <c r="V86" s="43">
        <f t="shared" si="12"/>
        <v>1462.8999000000003</v>
      </c>
      <c r="W86" s="42">
        <f t="shared" si="13"/>
        <v>1200</v>
      </c>
      <c r="X86" s="7"/>
      <c r="Y86" s="7"/>
      <c r="Z86" s="7"/>
    </row>
    <row r="87" spans="1:26" ht="15.75" customHeight="1" x14ac:dyDescent="0.2">
      <c r="A87" s="17">
        <v>42149</v>
      </c>
      <c r="B87" s="18">
        <v>2</v>
      </c>
      <c r="C87" s="18" t="s">
        <v>17</v>
      </c>
      <c r="D87" s="19">
        <v>4415</v>
      </c>
      <c r="E87" s="44">
        <f t="shared" si="0"/>
        <v>4856.5</v>
      </c>
      <c r="F87" s="7">
        <f t="shared" si="1"/>
        <v>2</v>
      </c>
      <c r="G87" s="44">
        <f t="shared" si="2"/>
        <v>9713</v>
      </c>
      <c r="H87" s="44" t="str">
        <f t="shared" si="3"/>
        <v>2015-05-25-2-B</v>
      </c>
      <c r="I87" s="20">
        <f>VLOOKUP(H87,'Historical Shipments'!$D$2:$E$10000,2,FALSE)</f>
        <v>26045.4</v>
      </c>
      <c r="J87" s="20">
        <f t="shared" si="4"/>
        <v>28649.940000000002</v>
      </c>
      <c r="K87" s="44">
        <f t="shared" si="5"/>
        <v>38362.94</v>
      </c>
      <c r="L87" s="40">
        <f t="array" ref="L87">INDEX('Carrier Rates'!$D$2:$D$1000, MATCH("X"&amp;"-"&amp;"B"&amp;"-"&amp;B87, 'Carrier Rates'!$E$2:$E$1000, 0))</f>
        <v>1200</v>
      </c>
      <c r="M87" s="45">
        <f t="array" ref="M87">INDEX('Carrier Rates'!$D$2:$D$1000, MATCH("Y"&amp;"-"&amp;"B"&amp;"-"&amp;B87, 'Carrier Rates'!$E$2:$E$1000, 0))</f>
        <v>0.06</v>
      </c>
      <c r="N87" s="40">
        <f t="shared" si="6"/>
        <v>1200</v>
      </c>
      <c r="O87" s="44">
        <f t="shared" si="7"/>
        <v>2301.7764000000002</v>
      </c>
      <c r="P87" s="44">
        <f t="shared" si="8"/>
        <v>1200</v>
      </c>
      <c r="Q87" s="7">
        <f t="shared" si="9"/>
        <v>0.82</v>
      </c>
      <c r="R87" s="44">
        <f t="shared" si="10"/>
        <v>3982.33</v>
      </c>
      <c r="S87" s="7"/>
      <c r="T87" s="7"/>
      <c r="U87" s="40">
        <f t="shared" si="11"/>
        <v>1200</v>
      </c>
      <c r="V87" s="43">
        <f t="shared" si="12"/>
        <v>1718.9964</v>
      </c>
      <c r="W87" s="42">
        <f t="shared" si="13"/>
        <v>1200</v>
      </c>
      <c r="X87" s="7"/>
      <c r="Y87" s="7"/>
      <c r="Z87" s="7"/>
    </row>
    <row r="88" spans="1:26" ht="15.75" customHeight="1" x14ac:dyDescent="0.2">
      <c r="A88" s="17">
        <v>42156</v>
      </c>
      <c r="B88" s="18">
        <v>1</v>
      </c>
      <c r="C88" s="18" t="s">
        <v>17</v>
      </c>
      <c r="D88" s="19">
        <v>5281</v>
      </c>
      <c r="E88" s="44">
        <f t="shared" si="0"/>
        <v>5809.1</v>
      </c>
      <c r="F88" s="7">
        <f t="shared" si="1"/>
        <v>2</v>
      </c>
      <c r="G88" s="44">
        <f t="shared" si="2"/>
        <v>11618.2</v>
      </c>
      <c r="H88" s="44" t="str">
        <f t="shared" si="3"/>
        <v>2015-06-01-1-B</v>
      </c>
      <c r="I88" s="20">
        <f>VLOOKUP(H88,'Historical Shipments'!$D$2:$E$10000,2,FALSE)</f>
        <v>19073.400000000001</v>
      </c>
      <c r="J88" s="20">
        <f t="shared" si="4"/>
        <v>20980.74</v>
      </c>
      <c r="K88" s="44">
        <f t="shared" si="5"/>
        <v>32598.940000000002</v>
      </c>
      <c r="L88" s="40">
        <f t="array" ref="L88">INDEX('Carrier Rates'!$D$2:$D$1000, MATCH("X"&amp;"-"&amp;"B"&amp;"-"&amp;B88, 'Carrier Rates'!$E$2:$E$1000, 0))</f>
        <v>1200</v>
      </c>
      <c r="M88" s="45">
        <f t="array" ref="M88">INDEX('Carrier Rates'!$D$2:$D$1000, MATCH("Y"&amp;"-"&amp;"B"&amp;"-"&amp;B88, 'Carrier Rates'!$E$2:$E$1000, 0))</f>
        <v>7.0000000000000007E-2</v>
      </c>
      <c r="N88" s="40">
        <f t="shared" si="6"/>
        <v>1200</v>
      </c>
      <c r="O88" s="44">
        <f t="shared" si="7"/>
        <v>2281.9258000000004</v>
      </c>
      <c r="P88" s="44">
        <f t="shared" si="8"/>
        <v>1200</v>
      </c>
      <c r="Q88" s="7">
        <f t="shared" si="9"/>
        <v>0.82</v>
      </c>
      <c r="R88" s="44">
        <f t="shared" si="10"/>
        <v>4763.4620000000004</v>
      </c>
      <c r="S88" s="7"/>
      <c r="T88" s="7"/>
      <c r="U88" s="40">
        <f t="shared" si="11"/>
        <v>1200</v>
      </c>
      <c r="V88" s="43">
        <f t="shared" si="12"/>
        <v>1468.6518000000003</v>
      </c>
      <c r="W88" s="42">
        <f t="shared" si="13"/>
        <v>1200</v>
      </c>
      <c r="X88" s="7"/>
      <c r="Y88" s="7"/>
      <c r="Z88" s="7"/>
    </row>
    <row r="89" spans="1:26" ht="15.75" customHeight="1" x14ac:dyDescent="0.2">
      <c r="A89" s="17">
        <v>42156</v>
      </c>
      <c r="B89" s="18">
        <v>2</v>
      </c>
      <c r="C89" s="18" t="s">
        <v>17</v>
      </c>
      <c r="D89" s="19">
        <v>4453</v>
      </c>
      <c r="E89" s="44">
        <f t="shared" si="0"/>
        <v>4898.3</v>
      </c>
      <c r="F89" s="7">
        <f t="shared" si="1"/>
        <v>2</v>
      </c>
      <c r="G89" s="44">
        <f t="shared" si="2"/>
        <v>9796.6</v>
      </c>
      <c r="H89" s="44" t="str">
        <f t="shared" si="3"/>
        <v>2015-06-01-2-B</v>
      </c>
      <c r="I89" s="20">
        <f>VLOOKUP(H89,'Historical Shipments'!$D$2:$E$10000,2,FALSE)</f>
        <v>26136.7</v>
      </c>
      <c r="J89" s="20">
        <f t="shared" si="4"/>
        <v>28750.370000000003</v>
      </c>
      <c r="K89" s="44">
        <f t="shared" si="5"/>
        <v>38546.97</v>
      </c>
      <c r="L89" s="40">
        <f t="array" ref="L89">INDEX('Carrier Rates'!$D$2:$D$1000, MATCH("X"&amp;"-"&amp;"B"&amp;"-"&amp;B89, 'Carrier Rates'!$E$2:$E$1000, 0))</f>
        <v>1200</v>
      </c>
      <c r="M89" s="45">
        <f t="array" ref="M89">INDEX('Carrier Rates'!$D$2:$D$1000, MATCH("Y"&amp;"-"&amp;"B"&amp;"-"&amp;B89, 'Carrier Rates'!$E$2:$E$1000, 0))</f>
        <v>0.06</v>
      </c>
      <c r="N89" s="40">
        <f t="shared" si="6"/>
        <v>1200</v>
      </c>
      <c r="O89" s="44">
        <f t="shared" si="7"/>
        <v>2312.8182000000002</v>
      </c>
      <c r="P89" s="44">
        <f t="shared" si="8"/>
        <v>1200</v>
      </c>
      <c r="Q89" s="7">
        <f t="shared" si="9"/>
        <v>0.82</v>
      </c>
      <c r="R89" s="44">
        <f t="shared" si="10"/>
        <v>4016.6059999999998</v>
      </c>
      <c r="S89" s="7"/>
      <c r="T89" s="7"/>
      <c r="U89" s="40">
        <f t="shared" si="11"/>
        <v>1200</v>
      </c>
      <c r="V89" s="43">
        <f t="shared" si="12"/>
        <v>1725.0222000000001</v>
      </c>
      <c r="W89" s="42">
        <f t="shared" si="13"/>
        <v>1200</v>
      </c>
      <c r="X89" s="7"/>
      <c r="Y89" s="7"/>
      <c r="Z89" s="7"/>
    </row>
    <row r="90" spans="1:26" ht="15.75" customHeight="1" x14ac:dyDescent="0.2">
      <c r="A90" s="17">
        <v>42163</v>
      </c>
      <c r="B90" s="18">
        <v>1</v>
      </c>
      <c r="C90" s="18" t="s">
        <v>17</v>
      </c>
      <c r="D90" s="19">
        <v>5168</v>
      </c>
      <c r="E90" s="44">
        <f t="shared" si="0"/>
        <v>5684.8</v>
      </c>
      <c r="F90" s="7">
        <f t="shared" si="1"/>
        <v>2</v>
      </c>
      <c r="G90" s="44">
        <f t="shared" si="2"/>
        <v>11369.6</v>
      </c>
      <c r="H90" s="44" t="str">
        <f t="shared" si="3"/>
        <v>2015-06-08-1-B</v>
      </c>
      <c r="I90" s="20">
        <f>VLOOKUP(H90,'Historical Shipments'!$D$2:$E$10000,2,FALSE)</f>
        <v>20882.800000000003</v>
      </c>
      <c r="J90" s="20">
        <f t="shared" si="4"/>
        <v>22971.080000000005</v>
      </c>
      <c r="K90" s="44">
        <f t="shared" si="5"/>
        <v>34340.680000000008</v>
      </c>
      <c r="L90" s="40">
        <f t="array" ref="L90">INDEX('Carrier Rates'!$D$2:$D$1000, MATCH("X"&amp;"-"&amp;"B"&amp;"-"&amp;B90, 'Carrier Rates'!$E$2:$E$1000, 0))</f>
        <v>1200</v>
      </c>
      <c r="M90" s="45">
        <f t="array" ref="M90">INDEX('Carrier Rates'!$D$2:$D$1000, MATCH("Y"&amp;"-"&amp;"B"&amp;"-"&amp;B90, 'Carrier Rates'!$E$2:$E$1000, 0))</f>
        <v>7.0000000000000007E-2</v>
      </c>
      <c r="N90" s="40">
        <f t="shared" si="6"/>
        <v>1200</v>
      </c>
      <c r="O90" s="44">
        <f t="shared" si="7"/>
        <v>2403.847600000001</v>
      </c>
      <c r="P90" s="44">
        <f t="shared" si="8"/>
        <v>1200</v>
      </c>
      <c r="Q90" s="7">
        <f t="shared" si="9"/>
        <v>0.82</v>
      </c>
      <c r="R90" s="44">
        <f t="shared" si="10"/>
        <v>4661.5360000000001</v>
      </c>
      <c r="S90" s="7"/>
      <c r="T90" s="7"/>
      <c r="U90" s="40">
        <f t="shared" si="11"/>
        <v>1200</v>
      </c>
      <c r="V90" s="43">
        <f t="shared" si="12"/>
        <v>1607.9756000000004</v>
      </c>
      <c r="W90" s="42">
        <f t="shared" si="13"/>
        <v>1200</v>
      </c>
      <c r="X90" s="7"/>
      <c r="Y90" s="7"/>
      <c r="Z90" s="7"/>
    </row>
    <row r="91" spans="1:26" ht="15.75" customHeight="1" x14ac:dyDescent="0.2">
      <c r="A91" s="17">
        <v>42163</v>
      </c>
      <c r="B91" s="18">
        <v>2</v>
      </c>
      <c r="C91" s="18" t="s">
        <v>17</v>
      </c>
      <c r="D91" s="19">
        <v>4044</v>
      </c>
      <c r="E91" s="44">
        <f t="shared" si="0"/>
        <v>4448.4000000000005</v>
      </c>
      <c r="F91" s="7">
        <f t="shared" si="1"/>
        <v>2</v>
      </c>
      <c r="G91" s="44">
        <f t="shared" si="2"/>
        <v>8896.8000000000011</v>
      </c>
      <c r="H91" s="44" t="str">
        <f t="shared" si="3"/>
        <v>2015-06-08-2-B</v>
      </c>
      <c r="I91" s="20">
        <f>VLOOKUP(H91,'Historical Shipments'!$D$2:$E$10000,2,FALSE)</f>
        <v>28850.800000000003</v>
      </c>
      <c r="J91" s="20">
        <f t="shared" si="4"/>
        <v>31735.880000000005</v>
      </c>
      <c r="K91" s="44">
        <f t="shared" si="5"/>
        <v>40632.680000000008</v>
      </c>
      <c r="L91" s="40">
        <f t="array" ref="L91">INDEX('Carrier Rates'!$D$2:$D$1000, MATCH("X"&amp;"-"&amp;"B"&amp;"-"&amp;B91, 'Carrier Rates'!$E$2:$E$1000, 0))</f>
        <v>1200</v>
      </c>
      <c r="M91" s="45">
        <f t="array" ref="M91">INDEX('Carrier Rates'!$D$2:$D$1000, MATCH("Y"&amp;"-"&amp;"B"&amp;"-"&amp;B91, 'Carrier Rates'!$E$2:$E$1000, 0))</f>
        <v>0.06</v>
      </c>
      <c r="N91" s="40">
        <f t="shared" si="6"/>
        <v>1200</v>
      </c>
      <c r="O91" s="44">
        <f t="shared" si="7"/>
        <v>2437.9608000000003</v>
      </c>
      <c r="P91" s="44">
        <f t="shared" si="8"/>
        <v>1200</v>
      </c>
      <c r="Q91" s="7">
        <f t="shared" si="9"/>
        <v>0.82</v>
      </c>
      <c r="R91" s="44">
        <f t="shared" si="10"/>
        <v>3647.6880000000001</v>
      </c>
      <c r="S91" s="7"/>
      <c r="T91" s="7"/>
      <c r="U91" s="40">
        <f t="shared" si="11"/>
        <v>1200</v>
      </c>
      <c r="V91" s="43">
        <f t="shared" si="12"/>
        <v>1904.1528000000003</v>
      </c>
      <c r="W91" s="42">
        <f t="shared" si="13"/>
        <v>1200</v>
      </c>
      <c r="X91" s="7"/>
      <c r="Y91" s="7"/>
      <c r="Z91" s="7"/>
    </row>
    <row r="92" spans="1:26" ht="15.75" customHeight="1" x14ac:dyDescent="0.2">
      <c r="A92" s="17">
        <v>42170</v>
      </c>
      <c r="B92" s="18">
        <v>1</v>
      </c>
      <c r="C92" s="18" t="s">
        <v>17</v>
      </c>
      <c r="D92" s="19">
        <v>5038</v>
      </c>
      <c r="E92" s="44">
        <f t="shared" si="0"/>
        <v>5541.8</v>
      </c>
      <c r="F92" s="7">
        <f t="shared" si="1"/>
        <v>2</v>
      </c>
      <c r="G92" s="44">
        <f t="shared" si="2"/>
        <v>11083.6</v>
      </c>
      <c r="H92" s="44" t="str">
        <f t="shared" si="3"/>
        <v>2015-06-15-1-B</v>
      </c>
      <c r="I92" s="20">
        <f>VLOOKUP(H92,'Historical Shipments'!$D$2:$E$10000,2,FALSE)</f>
        <v>17098</v>
      </c>
      <c r="J92" s="20">
        <f t="shared" si="4"/>
        <v>18807.800000000003</v>
      </c>
      <c r="K92" s="44">
        <f t="shared" si="5"/>
        <v>29891.4</v>
      </c>
      <c r="L92" s="40">
        <f t="array" ref="L92">INDEX('Carrier Rates'!$D$2:$D$1000, MATCH("X"&amp;"-"&amp;"B"&amp;"-"&amp;B92, 'Carrier Rates'!$E$2:$E$1000, 0))</f>
        <v>1200</v>
      </c>
      <c r="M92" s="45">
        <f t="array" ref="M92">INDEX('Carrier Rates'!$D$2:$D$1000, MATCH("Y"&amp;"-"&amp;"B"&amp;"-"&amp;B92, 'Carrier Rates'!$E$2:$E$1000, 0))</f>
        <v>7.0000000000000007E-2</v>
      </c>
      <c r="N92" s="40">
        <f t="shared" si="6"/>
        <v>1200</v>
      </c>
      <c r="O92" s="44">
        <f t="shared" si="7"/>
        <v>2092.3980000000001</v>
      </c>
      <c r="P92" s="44">
        <f t="shared" si="8"/>
        <v>1200</v>
      </c>
      <c r="Q92" s="7">
        <f t="shared" si="9"/>
        <v>0.82</v>
      </c>
      <c r="R92" s="44">
        <f t="shared" si="10"/>
        <v>4544.2759999999998</v>
      </c>
      <c r="S92" s="7"/>
      <c r="T92" s="7"/>
      <c r="U92" s="40">
        <f t="shared" si="11"/>
        <v>1200</v>
      </c>
      <c r="V92" s="43">
        <f t="shared" si="12"/>
        <v>1316.5460000000003</v>
      </c>
      <c r="W92" s="42">
        <f t="shared" si="13"/>
        <v>1200</v>
      </c>
      <c r="X92" s="7"/>
      <c r="Y92" s="7"/>
      <c r="Z92" s="7"/>
    </row>
    <row r="93" spans="1:26" ht="15.75" customHeight="1" x14ac:dyDescent="0.2">
      <c r="A93" s="17">
        <v>42170</v>
      </c>
      <c r="B93" s="18">
        <v>2</v>
      </c>
      <c r="C93" s="18" t="s">
        <v>17</v>
      </c>
      <c r="D93" s="19">
        <v>4232</v>
      </c>
      <c r="E93" s="44">
        <f t="shared" si="0"/>
        <v>4655.2000000000007</v>
      </c>
      <c r="F93" s="7">
        <f t="shared" si="1"/>
        <v>2</v>
      </c>
      <c r="G93" s="44">
        <f t="shared" si="2"/>
        <v>9310.4000000000015</v>
      </c>
      <c r="H93" s="44" t="str">
        <f t="shared" si="3"/>
        <v>2015-06-15-2-B</v>
      </c>
      <c r="I93" s="20">
        <f>VLOOKUP(H93,'Historical Shipments'!$D$2:$E$10000,2,FALSE)</f>
        <v>18235.100000000002</v>
      </c>
      <c r="J93" s="20">
        <f t="shared" si="4"/>
        <v>20058.610000000004</v>
      </c>
      <c r="K93" s="44">
        <f t="shared" si="5"/>
        <v>29369.010000000006</v>
      </c>
      <c r="L93" s="40">
        <f t="array" ref="L93">INDEX('Carrier Rates'!$D$2:$D$1000, MATCH("X"&amp;"-"&amp;"B"&amp;"-"&amp;B93, 'Carrier Rates'!$E$2:$E$1000, 0))</f>
        <v>1200</v>
      </c>
      <c r="M93" s="45">
        <f t="array" ref="M93">INDEX('Carrier Rates'!$D$2:$D$1000, MATCH("Y"&amp;"-"&amp;"B"&amp;"-"&amp;B93, 'Carrier Rates'!$E$2:$E$1000, 0))</f>
        <v>0.06</v>
      </c>
      <c r="N93" s="40">
        <f t="shared" si="6"/>
        <v>1200</v>
      </c>
      <c r="O93" s="44">
        <f t="shared" si="7"/>
        <v>1762.1406000000002</v>
      </c>
      <c r="P93" s="44">
        <f t="shared" si="8"/>
        <v>1200</v>
      </c>
      <c r="Q93" s="7">
        <f t="shared" si="9"/>
        <v>0.82</v>
      </c>
      <c r="R93" s="44">
        <f t="shared" si="10"/>
        <v>3817.2640000000006</v>
      </c>
      <c r="S93" s="7"/>
      <c r="T93" s="7"/>
      <c r="U93" s="40">
        <f t="shared" si="11"/>
        <v>1200</v>
      </c>
      <c r="V93" s="43">
        <f t="shared" si="12"/>
        <v>1203.5166000000002</v>
      </c>
      <c r="W93" s="42">
        <f t="shared" si="13"/>
        <v>1200</v>
      </c>
      <c r="X93" s="7"/>
      <c r="Y93" s="7"/>
      <c r="Z93" s="7"/>
    </row>
    <row r="94" spans="1:26" ht="15.75" customHeight="1" x14ac:dyDescent="0.2">
      <c r="A94" s="17">
        <v>42177</v>
      </c>
      <c r="B94" s="18">
        <v>1</v>
      </c>
      <c r="C94" s="18" t="s">
        <v>17</v>
      </c>
      <c r="D94" s="19">
        <v>4650</v>
      </c>
      <c r="E94" s="44">
        <f t="shared" si="0"/>
        <v>5115</v>
      </c>
      <c r="F94" s="7">
        <f t="shared" si="1"/>
        <v>2</v>
      </c>
      <c r="G94" s="44">
        <f t="shared" si="2"/>
        <v>10230</v>
      </c>
      <c r="H94" s="44" t="str">
        <f t="shared" si="3"/>
        <v>2015-06-22-1-B</v>
      </c>
      <c r="I94" s="20">
        <f>VLOOKUP(H94,'Historical Shipments'!$D$2:$E$10000,2,FALSE)</f>
        <v>20667</v>
      </c>
      <c r="J94" s="20">
        <f t="shared" si="4"/>
        <v>22733.7</v>
      </c>
      <c r="K94" s="44">
        <f t="shared" si="5"/>
        <v>32963.699999999997</v>
      </c>
      <c r="L94" s="40">
        <f t="array" ref="L94">INDEX('Carrier Rates'!$D$2:$D$1000, MATCH("X"&amp;"-"&amp;"B"&amp;"-"&amp;B94, 'Carrier Rates'!$E$2:$E$1000, 0))</f>
        <v>1200</v>
      </c>
      <c r="M94" s="45">
        <f t="array" ref="M94">INDEX('Carrier Rates'!$D$2:$D$1000, MATCH("Y"&amp;"-"&amp;"B"&amp;"-"&amp;B94, 'Carrier Rates'!$E$2:$E$1000, 0))</f>
        <v>7.0000000000000007E-2</v>
      </c>
      <c r="N94" s="40">
        <f t="shared" si="6"/>
        <v>1200</v>
      </c>
      <c r="O94" s="44">
        <f t="shared" si="7"/>
        <v>2307.4589999999998</v>
      </c>
      <c r="P94" s="44">
        <f t="shared" si="8"/>
        <v>1200</v>
      </c>
      <c r="Q94" s="7">
        <f t="shared" si="9"/>
        <v>0.82</v>
      </c>
      <c r="R94" s="44">
        <f t="shared" si="10"/>
        <v>4194.3</v>
      </c>
      <c r="S94" s="7"/>
      <c r="T94" s="7"/>
      <c r="U94" s="40">
        <f t="shared" si="11"/>
        <v>1200</v>
      </c>
      <c r="V94" s="43">
        <f t="shared" si="12"/>
        <v>1591.3590000000002</v>
      </c>
      <c r="W94" s="42">
        <f t="shared" si="13"/>
        <v>1200</v>
      </c>
      <c r="X94" s="7"/>
      <c r="Y94" s="7"/>
      <c r="Z94" s="7"/>
    </row>
    <row r="95" spans="1:26" ht="15.75" customHeight="1" x14ac:dyDescent="0.2">
      <c r="A95" s="17">
        <v>42177</v>
      </c>
      <c r="B95" s="18">
        <v>2</v>
      </c>
      <c r="C95" s="18" t="s">
        <v>17</v>
      </c>
      <c r="D95" s="19">
        <v>2982</v>
      </c>
      <c r="E95" s="44">
        <f t="shared" si="0"/>
        <v>3280.2000000000003</v>
      </c>
      <c r="F95" s="7">
        <f t="shared" si="1"/>
        <v>2</v>
      </c>
      <c r="G95" s="44">
        <f t="shared" si="2"/>
        <v>6560.4000000000005</v>
      </c>
      <c r="H95" s="44" t="str">
        <f t="shared" si="3"/>
        <v>2015-06-22-2-B</v>
      </c>
      <c r="I95" s="20">
        <f>VLOOKUP(H95,'Historical Shipments'!$D$2:$E$10000,2,FALSE)</f>
        <v>23638.400000000001</v>
      </c>
      <c r="J95" s="20">
        <f t="shared" si="4"/>
        <v>26002.240000000005</v>
      </c>
      <c r="K95" s="44">
        <f t="shared" si="5"/>
        <v>32562.640000000007</v>
      </c>
      <c r="L95" s="40">
        <f t="array" ref="L95">INDEX('Carrier Rates'!$D$2:$D$1000, MATCH("X"&amp;"-"&amp;"B"&amp;"-"&amp;B95, 'Carrier Rates'!$E$2:$E$1000, 0))</f>
        <v>1200</v>
      </c>
      <c r="M95" s="45">
        <f t="array" ref="M95">INDEX('Carrier Rates'!$D$2:$D$1000, MATCH("Y"&amp;"-"&amp;"B"&amp;"-"&amp;B95, 'Carrier Rates'!$E$2:$E$1000, 0))</f>
        <v>0.06</v>
      </c>
      <c r="N95" s="40">
        <f t="shared" si="6"/>
        <v>1200</v>
      </c>
      <c r="O95" s="44">
        <f t="shared" si="7"/>
        <v>1953.7584000000004</v>
      </c>
      <c r="P95" s="44">
        <f t="shared" si="8"/>
        <v>1200</v>
      </c>
      <c r="Q95" s="7">
        <f t="shared" si="9"/>
        <v>0.82</v>
      </c>
      <c r="R95" s="44">
        <f t="shared" si="10"/>
        <v>2689.7640000000001</v>
      </c>
      <c r="S95" s="7"/>
      <c r="T95" s="7"/>
      <c r="U95" s="40">
        <f t="shared" si="11"/>
        <v>1200</v>
      </c>
      <c r="V95" s="43">
        <f t="shared" si="12"/>
        <v>1560.1344000000004</v>
      </c>
      <c r="W95" s="42">
        <f t="shared" si="13"/>
        <v>1200</v>
      </c>
      <c r="X95" s="7"/>
      <c r="Y95" s="7"/>
      <c r="Z95" s="7"/>
    </row>
    <row r="96" spans="1:26" ht="15.75" customHeight="1" x14ac:dyDescent="0.2">
      <c r="A96" s="17">
        <v>42184</v>
      </c>
      <c r="B96" s="18">
        <v>1</v>
      </c>
      <c r="C96" s="18" t="s">
        <v>17</v>
      </c>
      <c r="D96" s="19">
        <v>5914</v>
      </c>
      <c r="E96" s="44">
        <f t="shared" si="0"/>
        <v>6505.4000000000005</v>
      </c>
      <c r="F96" s="7">
        <f t="shared" si="1"/>
        <v>2</v>
      </c>
      <c r="G96" s="44">
        <f t="shared" si="2"/>
        <v>13010.800000000001</v>
      </c>
      <c r="H96" s="44" t="str">
        <f t="shared" si="3"/>
        <v>2015-06-29-1-B</v>
      </c>
      <c r="I96" s="20">
        <f>VLOOKUP(H96,'Historical Shipments'!$D$2:$E$10000,2,FALSE)</f>
        <v>18102.300000000003</v>
      </c>
      <c r="J96" s="20">
        <f t="shared" si="4"/>
        <v>19912.530000000006</v>
      </c>
      <c r="K96" s="44">
        <f t="shared" si="5"/>
        <v>32923.330000000009</v>
      </c>
      <c r="L96" s="40">
        <f t="array" ref="L96">INDEX('Carrier Rates'!$D$2:$D$1000, MATCH("X"&amp;"-"&amp;"B"&amp;"-"&amp;B96, 'Carrier Rates'!$E$2:$E$1000, 0))</f>
        <v>1200</v>
      </c>
      <c r="M96" s="45">
        <f t="array" ref="M96">INDEX('Carrier Rates'!$D$2:$D$1000, MATCH("Y"&amp;"-"&amp;"B"&amp;"-"&amp;B96, 'Carrier Rates'!$E$2:$E$1000, 0))</f>
        <v>7.0000000000000007E-2</v>
      </c>
      <c r="N96" s="40">
        <f t="shared" si="6"/>
        <v>1200</v>
      </c>
      <c r="O96" s="44">
        <f t="shared" si="7"/>
        <v>2304.6331000000009</v>
      </c>
      <c r="P96" s="44">
        <f t="shared" si="8"/>
        <v>1200</v>
      </c>
      <c r="Q96" s="7">
        <f t="shared" si="9"/>
        <v>0.82</v>
      </c>
      <c r="R96" s="44">
        <f t="shared" si="10"/>
        <v>5334.4279999999999</v>
      </c>
      <c r="S96" s="7"/>
      <c r="T96" s="7"/>
      <c r="U96" s="40">
        <f t="shared" si="11"/>
        <v>1200</v>
      </c>
      <c r="V96" s="43">
        <f t="shared" si="12"/>
        <v>1393.8771000000006</v>
      </c>
      <c r="W96" s="42">
        <f t="shared" si="13"/>
        <v>1200</v>
      </c>
      <c r="X96" s="7"/>
      <c r="Y96" s="7"/>
      <c r="Z96" s="7"/>
    </row>
    <row r="97" spans="1:26" ht="15.75" customHeight="1" x14ac:dyDescent="0.2">
      <c r="A97" s="17">
        <v>42184</v>
      </c>
      <c r="B97" s="18">
        <v>2</v>
      </c>
      <c r="C97" s="18" t="s">
        <v>17</v>
      </c>
      <c r="D97" s="19">
        <v>4112</v>
      </c>
      <c r="E97" s="44">
        <f t="shared" si="0"/>
        <v>4523.2000000000007</v>
      </c>
      <c r="F97" s="7">
        <f t="shared" si="1"/>
        <v>2</v>
      </c>
      <c r="G97" s="44">
        <f t="shared" si="2"/>
        <v>9046.4000000000015</v>
      </c>
      <c r="H97" s="44" t="str">
        <f t="shared" si="3"/>
        <v>2015-06-29-2-B</v>
      </c>
      <c r="I97" s="20">
        <f>VLOOKUP(H97,'Historical Shipments'!$D$2:$E$10000,2,FALSE)</f>
        <v>22268.9</v>
      </c>
      <c r="J97" s="20">
        <f t="shared" si="4"/>
        <v>24495.790000000005</v>
      </c>
      <c r="K97" s="44">
        <f t="shared" si="5"/>
        <v>33542.19</v>
      </c>
      <c r="L97" s="40">
        <f t="array" ref="L97">INDEX('Carrier Rates'!$D$2:$D$1000, MATCH("X"&amp;"-"&amp;"B"&amp;"-"&amp;B97, 'Carrier Rates'!$E$2:$E$1000, 0))</f>
        <v>1200</v>
      </c>
      <c r="M97" s="45">
        <f t="array" ref="M97">INDEX('Carrier Rates'!$D$2:$D$1000, MATCH("Y"&amp;"-"&amp;"B"&amp;"-"&amp;B97, 'Carrier Rates'!$E$2:$E$1000, 0))</f>
        <v>0.06</v>
      </c>
      <c r="N97" s="40">
        <f t="shared" si="6"/>
        <v>1200</v>
      </c>
      <c r="O97" s="44">
        <f t="shared" si="7"/>
        <v>2012.5314000000001</v>
      </c>
      <c r="P97" s="44">
        <f t="shared" si="8"/>
        <v>1200</v>
      </c>
      <c r="Q97" s="7">
        <f t="shared" si="9"/>
        <v>0.82</v>
      </c>
      <c r="R97" s="44">
        <f t="shared" si="10"/>
        <v>3709.0240000000003</v>
      </c>
      <c r="S97" s="7"/>
      <c r="T97" s="7"/>
      <c r="U97" s="40">
        <f t="shared" si="11"/>
        <v>1200</v>
      </c>
      <c r="V97" s="43">
        <f t="shared" si="12"/>
        <v>1469.7474000000002</v>
      </c>
      <c r="W97" s="42">
        <f t="shared" si="13"/>
        <v>1200</v>
      </c>
      <c r="X97" s="7"/>
      <c r="Y97" s="7"/>
      <c r="Z97" s="7"/>
    </row>
    <row r="98" spans="1:26" ht="15.75" customHeight="1" x14ac:dyDescent="0.2">
      <c r="A98" s="17">
        <v>42191</v>
      </c>
      <c r="B98" s="18">
        <v>1</v>
      </c>
      <c r="C98" s="18" t="s">
        <v>17</v>
      </c>
      <c r="D98" s="19">
        <v>5835</v>
      </c>
      <c r="E98" s="44">
        <f t="shared" si="0"/>
        <v>6418.5000000000009</v>
      </c>
      <c r="F98" s="7">
        <f t="shared" si="1"/>
        <v>2</v>
      </c>
      <c r="G98" s="44">
        <f t="shared" si="2"/>
        <v>12837.000000000002</v>
      </c>
      <c r="H98" s="44" t="str">
        <f t="shared" si="3"/>
        <v>2015-07-06-1-B</v>
      </c>
      <c r="I98" s="20">
        <f>VLOOKUP(H98,'Historical Shipments'!$D$2:$E$10000,2,FALSE)</f>
        <v>20799.800000000003</v>
      </c>
      <c r="J98" s="20">
        <f t="shared" si="4"/>
        <v>22879.780000000006</v>
      </c>
      <c r="K98" s="44">
        <f t="shared" si="5"/>
        <v>35716.780000000006</v>
      </c>
      <c r="L98" s="40">
        <f t="array" ref="L98">INDEX('Carrier Rates'!$D$2:$D$1000, MATCH("X"&amp;"-"&amp;"B"&amp;"-"&amp;B98, 'Carrier Rates'!$E$2:$E$1000, 0))</f>
        <v>1200</v>
      </c>
      <c r="M98" s="45">
        <f t="array" ref="M98">INDEX('Carrier Rates'!$D$2:$D$1000, MATCH("Y"&amp;"-"&amp;"B"&amp;"-"&amp;B98, 'Carrier Rates'!$E$2:$E$1000, 0))</f>
        <v>7.0000000000000007E-2</v>
      </c>
      <c r="N98" s="40">
        <f t="shared" si="6"/>
        <v>1200</v>
      </c>
      <c r="O98" s="44">
        <f t="shared" si="7"/>
        <v>2500.1746000000007</v>
      </c>
      <c r="P98" s="44">
        <f t="shared" si="8"/>
        <v>1200</v>
      </c>
      <c r="Q98" s="7">
        <f t="shared" si="9"/>
        <v>0.82</v>
      </c>
      <c r="R98" s="44">
        <f t="shared" si="10"/>
        <v>5263.17</v>
      </c>
      <c r="S98" s="7"/>
      <c r="T98" s="7"/>
      <c r="U98" s="40">
        <f t="shared" si="11"/>
        <v>1200</v>
      </c>
      <c r="V98" s="43">
        <f t="shared" si="12"/>
        <v>1601.5846000000006</v>
      </c>
      <c r="W98" s="42">
        <f t="shared" si="13"/>
        <v>1200</v>
      </c>
      <c r="X98" s="7"/>
      <c r="Y98" s="7"/>
      <c r="Z98" s="7"/>
    </row>
    <row r="99" spans="1:26" ht="15.75" customHeight="1" x14ac:dyDescent="0.2">
      <c r="A99" s="17">
        <v>42191</v>
      </c>
      <c r="B99" s="18">
        <v>2</v>
      </c>
      <c r="C99" s="18" t="s">
        <v>17</v>
      </c>
      <c r="D99" s="19">
        <v>4945</v>
      </c>
      <c r="E99" s="44">
        <f t="shared" si="0"/>
        <v>5439.5</v>
      </c>
      <c r="F99" s="7">
        <f t="shared" si="1"/>
        <v>2</v>
      </c>
      <c r="G99" s="44">
        <f t="shared" si="2"/>
        <v>10879</v>
      </c>
      <c r="H99" s="44" t="str">
        <f t="shared" si="3"/>
        <v>2015-07-06-2-B</v>
      </c>
      <c r="I99" s="20">
        <f>VLOOKUP(H99,'Historical Shipments'!$D$2:$E$10000,2,FALSE)</f>
        <v>28751.200000000001</v>
      </c>
      <c r="J99" s="20">
        <f t="shared" si="4"/>
        <v>31626.320000000003</v>
      </c>
      <c r="K99" s="44">
        <f t="shared" si="5"/>
        <v>42505.320000000007</v>
      </c>
      <c r="L99" s="40">
        <f t="array" ref="L99">INDEX('Carrier Rates'!$D$2:$D$1000, MATCH("X"&amp;"-"&amp;"B"&amp;"-"&amp;B99, 'Carrier Rates'!$E$2:$E$1000, 0))</f>
        <v>1200</v>
      </c>
      <c r="M99" s="45">
        <f t="array" ref="M99">INDEX('Carrier Rates'!$D$2:$D$1000, MATCH("Y"&amp;"-"&amp;"B"&amp;"-"&amp;B99, 'Carrier Rates'!$E$2:$E$1000, 0))</f>
        <v>0.06</v>
      </c>
      <c r="N99" s="40">
        <f t="shared" si="6"/>
        <v>1200</v>
      </c>
      <c r="O99" s="44">
        <f t="shared" si="7"/>
        <v>2550.3192000000004</v>
      </c>
      <c r="P99" s="44">
        <f t="shared" si="8"/>
        <v>1200</v>
      </c>
      <c r="Q99" s="7">
        <f t="shared" si="9"/>
        <v>0.82</v>
      </c>
      <c r="R99" s="44">
        <f t="shared" si="10"/>
        <v>4460.3899999999994</v>
      </c>
      <c r="S99" s="7"/>
      <c r="T99" s="7"/>
      <c r="U99" s="40">
        <f t="shared" si="11"/>
        <v>1200</v>
      </c>
      <c r="V99" s="43">
        <f t="shared" si="12"/>
        <v>1897.5792000000001</v>
      </c>
      <c r="W99" s="42">
        <f t="shared" si="13"/>
        <v>1200</v>
      </c>
      <c r="X99" s="7"/>
      <c r="Y99" s="7"/>
      <c r="Z99" s="7"/>
    </row>
    <row r="100" spans="1:26" ht="15.75" customHeight="1" x14ac:dyDescent="0.2">
      <c r="A100" s="17">
        <v>42198</v>
      </c>
      <c r="B100" s="18">
        <v>1</v>
      </c>
      <c r="C100" s="18" t="s">
        <v>17</v>
      </c>
      <c r="D100" s="19">
        <v>5542</v>
      </c>
      <c r="E100" s="44">
        <f t="shared" si="0"/>
        <v>6096.2000000000007</v>
      </c>
      <c r="F100" s="7">
        <f t="shared" si="1"/>
        <v>2</v>
      </c>
      <c r="G100" s="44">
        <f t="shared" si="2"/>
        <v>12192.400000000001</v>
      </c>
      <c r="H100" s="44" t="str">
        <f t="shared" si="3"/>
        <v>2015-07-13-1-B</v>
      </c>
      <c r="I100" s="20">
        <f>VLOOKUP(H100,'Historical Shipments'!$D$2:$E$10000,2,FALSE)</f>
        <v>18708.2</v>
      </c>
      <c r="J100" s="20">
        <f t="shared" si="4"/>
        <v>20579.020000000004</v>
      </c>
      <c r="K100" s="44">
        <f t="shared" si="5"/>
        <v>32771.420000000006</v>
      </c>
      <c r="L100" s="40">
        <f t="array" ref="L100">INDEX('Carrier Rates'!$D$2:$D$1000, MATCH("X"&amp;"-"&amp;"B"&amp;"-"&amp;B100, 'Carrier Rates'!$E$2:$E$1000, 0))</f>
        <v>1200</v>
      </c>
      <c r="M100" s="45">
        <f t="array" ref="M100">INDEX('Carrier Rates'!$D$2:$D$1000, MATCH("Y"&amp;"-"&amp;"B"&amp;"-"&amp;B100, 'Carrier Rates'!$E$2:$E$1000, 0))</f>
        <v>7.0000000000000007E-2</v>
      </c>
      <c r="N100" s="40">
        <f t="shared" si="6"/>
        <v>1200</v>
      </c>
      <c r="O100" s="44">
        <f t="shared" si="7"/>
        <v>2293.9994000000006</v>
      </c>
      <c r="P100" s="44">
        <f t="shared" si="8"/>
        <v>1200</v>
      </c>
      <c r="Q100" s="7">
        <f t="shared" si="9"/>
        <v>0.82</v>
      </c>
      <c r="R100" s="44">
        <f t="shared" si="10"/>
        <v>4998.884</v>
      </c>
      <c r="S100" s="7"/>
      <c r="T100" s="7"/>
      <c r="U100" s="40">
        <f t="shared" si="11"/>
        <v>1200</v>
      </c>
      <c r="V100" s="43">
        <f t="shared" si="12"/>
        <v>1440.5314000000005</v>
      </c>
      <c r="W100" s="42">
        <f t="shared" si="13"/>
        <v>1200</v>
      </c>
      <c r="X100" s="7"/>
      <c r="Y100" s="7"/>
      <c r="Z100" s="7"/>
    </row>
    <row r="101" spans="1:26" ht="15.75" customHeight="1" x14ac:dyDescent="0.2">
      <c r="A101" s="17">
        <v>42198</v>
      </c>
      <c r="B101" s="18">
        <v>2</v>
      </c>
      <c r="C101" s="18" t="s">
        <v>17</v>
      </c>
      <c r="D101" s="19">
        <v>3776</v>
      </c>
      <c r="E101" s="44">
        <f t="shared" si="0"/>
        <v>4153.6000000000004</v>
      </c>
      <c r="F101" s="7">
        <f t="shared" si="1"/>
        <v>2</v>
      </c>
      <c r="G101" s="44">
        <f t="shared" si="2"/>
        <v>8307.2000000000007</v>
      </c>
      <c r="H101" s="44" t="str">
        <f t="shared" si="3"/>
        <v>2015-07-13-2-B</v>
      </c>
      <c r="I101" s="20">
        <f>VLOOKUP(H101,'Historical Shipments'!$D$2:$E$10000,2,FALSE)</f>
        <v>25597.200000000001</v>
      </c>
      <c r="J101" s="20">
        <f t="shared" si="4"/>
        <v>28156.920000000002</v>
      </c>
      <c r="K101" s="44">
        <f t="shared" si="5"/>
        <v>36464.120000000003</v>
      </c>
      <c r="L101" s="40">
        <f t="array" ref="L101">INDEX('Carrier Rates'!$D$2:$D$1000, MATCH("X"&amp;"-"&amp;"B"&amp;"-"&amp;B101, 'Carrier Rates'!$E$2:$E$1000, 0))</f>
        <v>1200</v>
      </c>
      <c r="M101" s="45">
        <f t="array" ref="M101">INDEX('Carrier Rates'!$D$2:$D$1000, MATCH("Y"&amp;"-"&amp;"B"&amp;"-"&amp;B101, 'Carrier Rates'!$E$2:$E$1000, 0))</f>
        <v>0.06</v>
      </c>
      <c r="N101" s="40">
        <f t="shared" si="6"/>
        <v>1200</v>
      </c>
      <c r="O101" s="44">
        <f t="shared" si="7"/>
        <v>2187.8472000000002</v>
      </c>
      <c r="P101" s="44">
        <f t="shared" si="8"/>
        <v>1200</v>
      </c>
      <c r="Q101" s="7">
        <f t="shared" si="9"/>
        <v>0.82</v>
      </c>
      <c r="R101" s="44">
        <f t="shared" si="10"/>
        <v>3405.9520000000002</v>
      </c>
      <c r="S101" s="7"/>
      <c r="T101" s="7"/>
      <c r="U101" s="40">
        <f t="shared" si="11"/>
        <v>1200</v>
      </c>
      <c r="V101" s="43">
        <f t="shared" si="12"/>
        <v>1689.4152000000001</v>
      </c>
      <c r="W101" s="42">
        <f t="shared" si="13"/>
        <v>1200</v>
      </c>
      <c r="X101" s="7"/>
      <c r="Y101" s="7"/>
      <c r="Z101" s="7"/>
    </row>
    <row r="102" spans="1:26" ht="15.75" customHeight="1" x14ac:dyDescent="0.2">
      <c r="A102" s="17">
        <v>42205</v>
      </c>
      <c r="B102" s="18">
        <v>1</v>
      </c>
      <c r="C102" s="18" t="s">
        <v>17</v>
      </c>
      <c r="D102" s="19">
        <v>5355</v>
      </c>
      <c r="E102" s="44">
        <f t="shared" si="0"/>
        <v>5890.5000000000009</v>
      </c>
      <c r="F102" s="7">
        <f t="shared" si="1"/>
        <v>2</v>
      </c>
      <c r="G102" s="44">
        <f t="shared" si="2"/>
        <v>11781.000000000002</v>
      </c>
      <c r="H102" s="44" t="str">
        <f t="shared" si="3"/>
        <v>2015-07-20-1-B</v>
      </c>
      <c r="I102" s="20">
        <f>VLOOKUP(H102,'Historical Shipments'!$D$2:$E$10000,2,FALSE)</f>
        <v>18608.600000000002</v>
      </c>
      <c r="J102" s="20">
        <f t="shared" si="4"/>
        <v>20469.460000000003</v>
      </c>
      <c r="K102" s="44">
        <f t="shared" si="5"/>
        <v>32250.460000000006</v>
      </c>
      <c r="L102" s="40">
        <f t="array" ref="L102">INDEX('Carrier Rates'!$D$2:$D$1000, MATCH("X"&amp;"-"&amp;"B"&amp;"-"&amp;B102, 'Carrier Rates'!$E$2:$E$1000, 0))</f>
        <v>1200</v>
      </c>
      <c r="M102" s="45">
        <f t="array" ref="M102">INDEX('Carrier Rates'!$D$2:$D$1000, MATCH("Y"&amp;"-"&amp;"B"&amp;"-"&amp;B102, 'Carrier Rates'!$E$2:$E$1000, 0))</f>
        <v>7.0000000000000007E-2</v>
      </c>
      <c r="N102" s="40">
        <f t="shared" si="6"/>
        <v>1200</v>
      </c>
      <c r="O102" s="44">
        <f t="shared" si="7"/>
        <v>2257.5322000000006</v>
      </c>
      <c r="P102" s="44">
        <f t="shared" si="8"/>
        <v>1200</v>
      </c>
      <c r="Q102" s="7">
        <f t="shared" si="9"/>
        <v>0.82</v>
      </c>
      <c r="R102" s="44">
        <f t="shared" si="10"/>
        <v>4830.21</v>
      </c>
      <c r="S102" s="7"/>
      <c r="T102" s="7"/>
      <c r="U102" s="40">
        <f t="shared" si="11"/>
        <v>1200</v>
      </c>
      <c r="V102" s="43">
        <f t="shared" si="12"/>
        <v>1432.8622000000003</v>
      </c>
      <c r="W102" s="42">
        <f t="shared" si="13"/>
        <v>1200</v>
      </c>
      <c r="X102" s="7"/>
      <c r="Y102" s="7"/>
      <c r="Z102" s="7"/>
    </row>
    <row r="103" spans="1:26" ht="15.75" customHeight="1" x14ac:dyDescent="0.2">
      <c r="A103" s="17">
        <v>42205</v>
      </c>
      <c r="B103" s="18">
        <v>2</v>
      </c>
      <c r="C103" s="18" t="s">
        <v>17</v>
      </c>
      <c r="D103" s="19">
        <v>4522</v>
      </c>
      <c r="E103" s="44">
        <f t="shared" si="0"/>
        <v>4974.2000000000007</v>
      </c>
      <c r="F103" s="7">
        <f t="shared" si="1"/>
        <v>2</v>
      </c>
      <c r="G103" s="44">
        <f t="shared" si="2"/>
        <v>9948.4000000000015</v>
      </c>
      <c r="H103" s="44" t="str">
        <f t="shared" si="3"/>
        <v>2015-07-20-2-B</v>
      </c>
      <c r="I103" s="20">
        <f>VLOOKUP(H103,'Historical Shipments'!$D$2:$E$10000,2,FALSE)</f>
        <v>22974.400000000001</v>
      </c>
      <c r="J103" s="20">
        <f t="shared" si="4"/>
        <v>25271.840000000004</v>
      </c>
      <c r="K103" s="44">
        <f t="shared" si="5"/>
        <v>35220.240000000005</v>
      </c>
      <c r="L103" s="40">
        <f t="array" ref="L103">INDEX('Carrier Rates'!$D$2:$D$1000, MATCH("X"&amp;"-"&amp;"B"&amp;"-"&amp;B103, 'Carrier Rates'!$E$2:$E$1000, 0))</f>
        <v>1200</v>
      </c>
      <c r="M103" s="45">
        <f t="array" ref="M103">INDEX('Carrier Rates'!$D$2:$D$1000, MATCH("Y"&amp;"-"&amp;"B"&amp;"-"&amp;B103, 'Carrier Rates'!$E$2:$E$1000, 0))</f>
        <v>0.06</v>
      </c>
      <c r="N103" s="40">
        <f t="shared" si="6"/>
        <v>1200</v>
      </c>
      <c r="O103" s="44">
        <f t="shared" si="7"/>
        <v>2113.2144000000003</v>
      </c>
      <c r="P103" s="44">
        <f t="shared" si="8"/>
        <v>1200</v>
      </c>
      <c r="Q103" s="7">
        <f t="shared" si="9"/>
        <v>0.82</v>
      </c>
      <c r="R103" s="44">
        <f t="shared" si="10"/>
        <v>4078.8440000000005</v>
      </c>
      <c r="S103" s="7"/>
      <c r="T103" s="7"/>
      <c r="U103" s="40">
        <f t="shared" si="11"/>
        <v>1200</v>
      </c>
      <c r="V103" s="43">
        <f t="shared" si="12"/>
        <v>1516.3104000000001</v>
      </c>
      <c r="W103" s="42">
        <f t="shared" si="13"/>
        <v>1200</v>
      </c>
      <c r="X103" s="7"/>
      <c r="Y103" s="7"/>
      <c r="Z103" s="7"/>
    </row>
    <row r="104" spans="1:26" ht="15.75" customHeight="1" x14ac:dyDescent="0.2">
      <c r="A104" s="17">
        <v>42212</v>
      </c>
      <c r="B104" s="18">
        <v>1</v>
      </c>
      <c r="C104" s="18" t="s">
        <v>17</v>
      </c>
      <c r="D104" s="19">
        <v>5038</v>
      </c>
      <c r="E104" s="44">
        <f t="shared" si="0"/>
        <v>5541.8</v>
      </c>
      <c r="F104" s="7">
        <f t="shared" si="1"/>
        <v>2</v>
      </c>
      <c r="G104" s="44">
        <f t="shared" si="2"/>
        <v>11083.6</v>
      </c>
      <c r="H104" s="44" t="str">
        <f t="shared" si="3"/>
        <v>2015-07-27-1-B</v>
      </c>
      <c r="I104" s="20">
        <f>VLOOKUP(H104,'Historical Shipments'!$D$2:$E$10000,2,FALSE)</f>
        <v>20891.100000000002</v>
      </c>
      <c r="J104" s="20">
        <f t="shared" si="4"/>
        <v>22980.210000000003</v>
      </c>
      <c r="K104" s="44">
        <f t="shared" si="5"/>
        <v>34063.810000000005</v>
      </c>
      <c r="L104" s="40">
        <f t="array" ref="L104">INDEX('Carrier Rates'!$D$2:$D$1000, MATCH("X"&amp;"-"&amp;"B"&amp;"-"&amp;B104, 'Carrier Rates'!$E$2:$E$1000, 0))</f>
        <v>1200</v>
      </c>
      <c r="M104" s="45">
        <f t="array" ref="M104">INDEX('Carrier Rates'!$D$2:$D$1000, MATCH("Y"&amp;"-"&amp;"B"&amp;"-"&amp;B104, 'Carrier Rates'!$E$2:$E$1000, 0))</f>
        <v>7.0000000000000007E-2</v>
      </c>
      <c r="N104" s="40">
        <f t="shared" si="6"/>
        <v>1200</v>
      </c>
      <c r="O104" s="44">
        <f t="shared" si="7"/>
        <v>2384.4667000000004</v>
      </c>
      <c r="P104" s="44">
        <f t="shared" si="8"/>
        <v>1200</v>
      </c>
      <c r="Q104" s="7">
        <f t="shared" si="9"/>
        <v>0.82</v>
      </c>
      <c r="R104" s="44">
        <f t="shared" si="10"/>
        <v>4544.2759999999998</v>
      </c>
      <c r="S104" s="7"/>
      <c r="T104" s="7"/>
      <c r="U104" s="40">
        <f t="shared" si="11"/>
        <v>1200</v>
      </c>
      <c r="V104" s="43">
        <f t="shared" si="12"/>
        <v>1608.6147000000003</v>
      </c>
      <c r="W104" s="42">
        <f t="shared" si="13"/>
        <v>1200</v>
      </c>
      <c r="X104" s="7"/>
      <c r="Y104" s="7"/>
      <c r="Z104" s="7"/>
    </row>
    <row r="105" spans="1:26" ht="15.75" customHeight="1" x14ac:dyDescent="0.2">
      <c r="A105" s="17">
        <v>42212</v>
      </c>
      <c r="B105" s="18">
        <v>2</v>
      </c>
      <c r="C105" s="18" t="s">
        <v>17</v>
      </c>
      <c r="D105" s="19">
        <v>3924</v>
      </c>
      <c r="E105" s="44">
        <f t="shared" si="0"/>
        <v>4316.4000000000005</v>
      </c>
      <c r="F105" s="7">
        <f t="shared" si="1"/>
        <v>2</v>
      </c>
      <c r="G105" s="44">
        <f t="shared" si="2"/>
        <v>8632.8000000000011</v>
      </c>
      <c r="H105" s="44" t="str">
        <f t="shared" si="3"/>
        <v>2015-07-27-2-B</v>
      </c>
      <c r="I105" s="20">
        <f>VLOOKUP(H105,'Historical Shipments'!$D$2:$E$10000,2,FALSE)</f>
        <v>23970.400000000001</v>
      </c>
      <c r="J105" s="20">
        <f t="shared" si="4"/>
        <v>26367.440000000002</v>
      </c>
      <c r="K105" s="44">
        <f t="shared" si="5"/>
        <v>35000.240000000005</v>
      </c>
      <c r="L105" s="40">
        <f t="array" ref="L105">INDEX('Carrier Rates'!$D$2:$D$1000, MATCH("X"&amp;"-"&amp;"B"&amp;"-"&amp;B105, 'Carrier Rates'!$E$2:$E$1000, 0))</f>
        <v>1200</v>
      </c>
      <c r="M105" s="45">
        <f t="array" ref="M105">INDEX('Carrier Rates'!$D$2:$D$1000, MATCH("Y"&amp;"-"&amp;"B"&amp;"-"&amp;B105, 'Carrier Rates'!$E$2:$E$1000, 0))</f>
        <v>0.06</v>
      </c>
      <c r="N105" s="40">
        <f t="shared" si="6"/>
        <v>1200</v>
      </c>
      <c r="O105" s="44">
        <f t="shared" si="7"/>
        <v>2100.0144</v>
      </c>
      <c r="P105" s="44">
        <f t="shared" si="8"/>
        <v>1200</v>
      </c>
      <c r="Q105" s="7">
        <f t="shared" si="9"/>
        <v>0.82</v>
      </c>
      <c r="R105" s="44">
        <f t="shared" si="10"/>
        <v>3539.4480000000003</v>
      </c>
      <c r="S105" s="7"/>
      <c r="T105" s="7"/>
      <c r="U105" s="40">
        <f t="shared" si="11"/>
        <v>1200</v>
      </c>
      <c r="V105" s="43">
        <f t="shared" si="12"/>
        <v>1582.0464000000002</v>
      </c>
      <c r="W105" s="42">
        <f t="shared" si="13"/>
        <v>1200</v>
      </c>
      <c r="X105" s="7"/>
      <c r="Y105" s="7"/>
      <c r="Z105" s="7"/>
    </row>
    <row r="106" spans="1:26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20"/>
      <c r="J106" s="20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3" t="s">
        <v>48</v>
      </c>
      <c r="W106" s="42">
        <f>SUM(W1:W105)</f>
        <v>123099.93369999999</v>
      </c>
      <c r="X106" s="7"/>
      <c r="Y106" s="7"/>
      <c r="Z106" s="7"/>
    </row>
    <row r="107" spans="1:26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20"/>
      <c r="J107" s="44"/>
      <c r="K107" s="7"/>
      <c r="L107" s="7"/>
      <c r="M107" s="7"/>
      <c r="N107" s="7"/>
      <c r="O107" s="45"/>
      <c r="P107" s="45"/>
      <c r="Q107" s="7"/>
      <c r="R107" s="45"/>
      <c r="S107" s="7"/>
      <c r="T107" s="7"/>
      <c r="U107" s="7"/>
      <c r="V107" s="7"/>
      <c r="W107" s="42"/>
      <c r="X107" s="45"/>
      <c r="Y107" s="7"/>
      <c r="Z107" s="7"/>
    </row>
    <row r="108" spans="1:26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20"/>
      <c r="J108" s="20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42"/>
      <c r="X108" s="7"/>
      <c r="Y108" s="7"/>
      <c r="Z108" s="7"/>
    </row>
    <row r="109" spans="1:26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20"/>
      <c r="J109" s="20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42"/>
      <c r="X109" s="7"/>
      <c r="Y109" s="7"/>
      <c r="Z109" s="7"/>
    </row>
    <row r="110" spans="1:26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20"/>
      <c r="J110" s="20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42"/>
      <c r="X110" s="7"/>
      <c r="Y110" s="7"/>
      <c r="Z110" s="7"/>
    </row>
    <row r="111" spans="1:26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20"/>
      <c r="J111" s="20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42"/>
      <c r="X111" s="7"/>
      <c r="Y111" s="7"/>
      <c r="Z111" s="7"/>
    </row>
    <row r="112" spans="1:26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20"/>
      <c r="J112" s="20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42"/>
      <c r="X112" s="7"/>
      <c r="Y112" s="7"/>
      <c r="Z112" s="7"/>
    </row>
    <row r="113" spans="1:26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20"/>
      <c r="J113" s="20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42"/>
      <c r="X113" s="7"/>
      <c r="Y113" s="7"/>
      <c r="Z113" s="7"/>
    </row>
    <row r="114" spans="1:26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20"/>
      <c r="J114" s="20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42"/>
      <c r="X114" s="7"/>
      <c r="Y114" s="7"/>
      <c r="Z114" s="7"/>
    </row>
    <row r="115" spans="1:26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20"/>
      <c r="J115" s="20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42"/>
      <c r="X115" s="7"/>
      <c r="Y115" s="7"/>
      <c r="Z115" s="7"/>
    </row>
    <row r="116" spans="1:26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20"/>
      <c r="J116" s="20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42"/>
      <c r="X116" s="7"/>
      <c r="Y116" s="7"/>
      <c r="Z116" s="7"/>
    </row>
    <row r="117" spans="1:26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20"/>
      <c r="J117" s="20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42"/>
      <c r="X117" s="7"/>
      <c r="Y117" s="7"/>
      <c r="Z117" s="7"/>
    </row>
    <row r="118" spans="1:26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20"/>
      <c r="J118" s="20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42"/>
      <c r="X118" s="7"/>
      <c r="Y118" s="7"/>
      <c r="Z118" s="7"/>
    </row>
    <row r="119" spans="1:26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20"/>
      <c r="J119" s="20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42"/>
      <c r="X119" s="7"/>
      <c r="Y119" s="7"/>
      <c r="Z119" s="7"/>
    </row>
    <row r="120" spans="1:26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20"/>
      <c r="J120" s="20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42"/>
      <c r="X120" s="7"/>
      <c r="Y120" s="7"/>
      <c r="Z120" s="7"/>
    </row>
    <row r="121" spans="1:26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20"/>
      <c r="J121" s="20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42"/>
      <c r="X121" s="7"/>
      <c r="Y121" s="7"/>
      <c r="Z121" s="7"/>
    </row>
    <row r="122" spans="1:26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20"/>
      <c r="J122" s="20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42"/>
      <c r="X122" s="7"/>
      <c r="Y122" s="7"/>
      <c r="Z122" s="7"/>
    </row>
    <row r="123" spans="1:26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20"/>
      <c r="J123" s="20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42"/>
      <c r="X123" s="7"/>
      <c r="Y123" s="7"/>
      <c r="Z123" s="7"/>
    </row>
    <row r="124" spans="1:26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20"/>
      <c r="J124" s="20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42"/>
      <c r="X124" s="7"/>
      <c r="Y124" s="7"/>
      <c r="Z124" s="7"/>
    </row>
    <row r="125" spans="1:26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20"/>
      <c r="J125" s="20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42"/>
      <c r="X125" s="7"/>
      <c r="Y125" s="7"/>
      <c r="Z125" s="7"/>
    </row>
    <row r="126" spans="1:26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20"/>
      <c r="J126" s="20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42"/>
      <c r="X126" s="7"/>
      <c r="Y126" s="7"/>
      <c r="Z126" s="7"/>
    </row>
    <row r="127" spans="1:26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20"/>
      <c r="J127" s="20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42"/>
      <c r="X127" s="7"/>
      <c r="Y127" s="7"/>
      <c r="Z127" s="7"/>
    </row>
    <row r="128" spans="1:26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20"/>
      <c r="J128" s="20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42"/>
      <c r="X128" s="7"/>
      <c r="Y128" s="7"/>
      <c r="Z128" s="7"/>
    </row>
    <row r="129" spans="1:26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20"/>
      <c r="J129" s="20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42"/>
      <c r="X129" s="7"/>
      <c r="Y129" s="7"/>
      <c r="Z129" s="7"/>
    </row>
    <row r="130" spans="1:26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20"/>
      <c r="J130" s="20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42"/>
      <c r="X130" s="7"/>
      <c r="Y130" s="7"/>
      <c r="Z130" s="7"/>
    </row>
    <row r="131" spans="1:26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20"/>
      <c r="J131" s="20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42"/>
      <c r="X131" s="7"/>
      <c r="Y131" s="7"/>
      <c r="Z131" s="7"/>
    </row>
    <row r="132" spans="1:26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20"/>
      <c r="J132" s="20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42"/>
      <c r="X132" s="7"/>
      <c r="Y132" s="7"/>
      <c r="Z132" s="7"/>
    </row>
    <row r="133" spans="1:26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20"/>
      <c r="J133" s="20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42"/>
      <c r="X133" s="7"/>
      <c r="Y133" s="7"/>
      <c r="Z133" s="7"/>
    </row>
    <row r="134" spans="1:26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20"/>
      <c r="J134" s="20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42"/>
      <c r="X134" s="7"/>
      <c r="Y134" s="7"/>
      <c r="Z134" s="7"/>
    </row>
    <row r="135" spans="1:26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20"/>
      <c r="J135" s="20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42"/>
      <c r="X135" s="7"/>
      <c r="Y135" s="7"/>
      <c r="Z135" s="7"/>
    </row>
    <row r="136" spans="1:26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20"/>
      <c r="J136" s="20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42"/>
      <c r="X136" s="7"/>
      <c r="Y136" s="7"/>
      <c r="Z136" s="7"/>
    </row>
    <row r="137" spans="1:26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20"/>
      <c r="J137" s="20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42"/>
      <c r="X137" s="7"/>
      <c r="Y137" s="7"/>
      <c r="Z137" s="7"/>
    </row>
    <row r="138" spans="1:26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20"/>
      <c r="J138" s="20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42"/>
      <c r="X138" s="7"/>
      <c r="Y138" s="7"/>
      <c r="Z138" s="7"/>
    </row>
    <row r="139" spans="1:26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20"/>
      <c r="J139" s="20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42"/>
      <c r="X139" s="7"/>
      <c r="Y139" s="7"/>
      <c r="Z139" s="7"/>
    </row>
    <row r="140" spans="1:26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20"/>
      <c r="J140" s="20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42"/>
      <c r="X140" s="7"/>
      <c r="Y140" s="7"/>
      <c r="Z140" s="7"/>
    </row>
    <row r="141" spans="1:26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20"/>
      <c r="J141" s="20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42"/>
      <c r="X141" s="7"/>
      <c r="Y141" s="7"/>
      <c r="Z141" s="7"/>
    </row>
    <row r="142" spans="1:26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20"/>
      <c r="J142" s="20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42"/>
      <c r="X142" s="7"/>
      <c r="Y142" s="7"/>
      <c r="Z142" s="7"/>
    </row>
    <row r="143" spans="1:26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20"/>
      <c r="J143" s="20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42"/>
      <c r="X143" s="7"/>
      <c r="Y143" s="7"/>
      <c r="Z143" s="7"/>
    </row>
    <row r="144" spans="1:26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20"/>
      <c r="J144" s="20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42"/>
      <c r="X144" s="7"/>
      <c r="Y144" s="7"/>
      <c r="Z144" s="7"/>
    </row>
    <row r="145" spans="1:26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20"/>
      <c r="J145" s="20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42"/>
      <c r="X145" s="7"/>
      <c r="Y145" s="7"/>
      <c r="Z145" s="7"/>
    </row>
    <row r="146" spans="1:26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20"/>
      <c r="J146" s="20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42"/>
      <c r="X146" s="7"/>
      <c r="Y146" s="7"/>
      <c r="Z146" s="7"/>
    </row>
    <row r="147" spans="1:26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20"/>
      <c r="J147" s="20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42"/>
      <c r="X147" s="7"/>
      <c r="Y147" s="7"/>
      <c r="Z147" s="7"/>
    </row>
    <row r="148" spans="1:26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20"/>
      <c r="J148" s="20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42"/>
      <c r="X148" s="7"/>
      <c r="Y148" s="7"/>
      <c r="Z148" s="7"/>
    </row>
    <row r="149" spans="1:26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20"/>
      <c r="J149" s="20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42"/>
      <c r="X149" s="7"/>
      <c r="Y149" s="7"/>
      <c r="Z149" s="7"/>
    </row>
    <row r="150" spans="1:26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20"/>
      <c r="J150" s="20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42"/>
      <c r="X150" s="7"/>
      <c r="Y150" s="7"/>
      <c r="Z150" s="7"/>
    </row>
    <row r="151" spans="1:26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20"/>
      <c r="J151" s="20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42"/>
      <c r="X151" s="7"/>
      <c r="Y151" s="7"/>
      <c r="Z151" s="7"/>
    </row>
    <row r="152" spans="1:26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20"/>
      <c r="J152" s="20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42"/>
      <c r="X152" s="7"/>
      <c r="Y152" s="7"/>
      <c r="Z152" s="7"/>
    </row>
    <row r="153" spans="1:26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20"/>
      <c r="J153" s="20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42"/>
      <c r="X153" s="7"/>
      <c r="Y153" s="7"/>
      <c r="Z153" s="7"/>
    </row>
    <row r="154" spans="1:26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20"/>
      <c r="J154" s="20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42"/>
      <c r="X154" s="7"/>
      <c r="Y154" s="7"/>
      <c r="Z154" s="7"/>
    </row>
    <row r="155" spans="1:26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20"/>
      <c r="J155" s="20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42"/>
      <c r="X155" s="7"/>
      <c r="Y155" s="7"/>
      <c r="Z155" s="7"/>
    </row>
    <row r="156" spans="1:26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20"/>
      <c r="J156" s="20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42"/>
      <c r="X156" s="7"/>
      <c r="Y156" s="7"/>
      <c r="Z156" s="7"/>
    </row>
    <row r="157" spans="1:26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20"/>
      <c r="J157" s="20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42"/>
      <c r="X157" s="7"/>
      <c r="Y157" s="7"/>
      <c r="Z157" s="7"/>
    </row>
    <row r="158" spans="1:26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20"/>
      <c r="J158" s="20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42"/>
      <c r="X158" s="7"/>
      <c r="Y158" s="7"/>
      <c r="Z158" s="7"/>
    </row>
    <row r="159" spans="1:26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20"/>
      <c r="J159" s="20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42"/>
      <c r="X159" s="7"/>
      <c r="Y159" s="7"/>
      <c r="Z159" s="7"/>
    </row>
    <row r="160" spans="1:26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20"/>
      <c r="J160" s="20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42"/>
      <c r="X160" s="7"/>
      <c r="Y160" s="7"/>
      <c r="Z160" s="7"/>
    </row>
    <row r="161" spans="1:26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20"/>
      <c r="J161" s="20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42"/>
      <c r="X161" s="7"/>
      <c r="Y161" s="7"/>
      <c r="Z161" s="7"/>
    </row>
    <row r="162" spans="1:26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20"/>
      <c r="J162" s="20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42"/>
      <c r="X162" s="7"/>
      <c r="Y162" s="7"/>
      <c r="Z162" s="7"/>
    </row>
    <row r="163" spans="1:26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20"/>
      <c r="J163" s="20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42"/>
      <c r="X163" s="7"/>
      <c r="Y163" s="7"/>
      <c r="Z163" s="7"/>
    </row>
    <row r="164" spans="1:26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20"/>
      <c r="J164" s="20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42"/>
      <c r="X164" s="7"/>
      <c r="Y164" s="7"/>
      <c r="Z164" s="7"/>
    </row>
    <row r="165" spans="1:26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20"/>
      <c r="J165" s="20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42"/>
      <c r="X165" s="7"/>
      <c r="Y165" s="7"/>
      <c r="Z165" s="7"/>
    </row>
    <row r="166" spans="1:26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20"/>
      <c r="J166" s="20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42"/>
      <c r="X166" s="7"/>
      <c r="Y166" s="7"/>
      <c r="Z166" s="7"/>
    </row>
    <row r="167" spans="1:26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20"/>
      <c r="J167" s="20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42"/>
      <c r="X167" s="7"/>
      <c r="Y167" s="7"/>
      <c r="Z167" s="7"/>
    </row>
    <row r="168" spans="1:26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20"/>
      <c r="J168" s="20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42"/>
      <c r="X168" s="7"/>
      <c r="Y168" s="7"/>
      <c r="Z168" s="7"/>
    </row>
    <row r="169" spans="1:26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20"/>
      <c r="J169" s="20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42"/>
      <c r="X169" s="7"/>
      <c r="Y169" s="7"/>
      <c r="Z169" s="7"/>
    </row>
    <row r="170" spans="1:26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20"/>
      <c r="J170" s="20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42"/>
      <c r="X170" s="7"/>
      <c r="Y170" s="7"/>
      <c r="Z170" s="7"/>
    </row>
    <row r="171" spans="1:26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20"/>
      <c r="J171" s="20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42"/>
      <c r="X171" s="7"/>
      <c r="Y171" s="7"/>
      <c r="Z171" s="7"/>
    </row>
    <row r="172" spans="1:26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20"/>
      <c r="J172" s="20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42"/>
      <c r="X172" s="7"/>
      <c r="Y172" s="7"/>
      <c r="Z172" s="7"/>
    </row>
    <row r="173" spans="1:26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20"/>
      <c r="J173" s="20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42"/>
      <c r="X173" s="7"/>
      <c r="Y173" s="7"/>
      <c r="Z173" s="7"/>
    </row>
    <row r="174" spans="1:26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20"/>
      <c r="J174" s="20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42"/>
      <c r="X174" s="7"/>
      <c r="Y174" s="7"/>
      <c r="Z174" s="7"/>
    </row>
    <row r="175" spans="1:26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20"/>
      <c r="J175" s="20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42"/>
      <c r="X175" s="7"/>
      <c r="Y175" s="7"/>
      <c r="Z175" s="7"/>
    </row>
    <row r="176" spans="1:26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20"/>
      <c r="J176" s="20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42"/>
      <c r="X176" s="7"/>
      <c r="Y176" s="7"/>
      <c r="Z176" s="7"/>
    </row>
    <row r="177" spans="1:26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20"/>
      <c r="J177" s="20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42"/>
      <c r="X177" s="7"/>
      <c r="Y177" s="7"/>
      <c r="Z177" s="7"/>
    </row>
    <row r="178" spans="1:26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20"/>
      <c r="J178" s="20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42"/>
      <c r="X178" s="7"/>
      <c r="Y178" s="7"/>
      <c r="Z178" s="7"/>
    </row>
    <row r="179" spans="1:26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20"/>
      <c r="J179" s="20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42"/>
      <c r="X179" s="7"/>
      <c r="Y179" s="7"/>
      <c r="Z179" s="7"/>
    </row>
    <row r="180" spans="1:26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20"/>
      <c r="J180" s="20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42"/>
      <c r="X180" s="7"/>
      <c r="Y180" s="7"/>
      <c r="Z180" s="7"/>
    </row>
    <row r="181" spans="1:26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20"/>
      <c r="J181" s="20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42"/>
      <c r="X181" s="7"/>
      <c r="Y181" s="7"/>
      <c r="Z181" s="7"/>
    </row>
    <row r="182" spans="1:26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20"/>
      <c r="J182" s="20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42"/>
      <c r="X182" s="7"/>
      <c r="Y182" s="7"/>
      <c r="Z182" s="7"/>
    </row>
    <row r="183" spans="1:26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20"/>
      <c r="J183" s="20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42"/>
      <c r="X183" s="7"/>
      <c r="Y183" s="7"/>
      <c r="Z183" s="7"/>
    </row>
    <row r="184" spans="1:26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20"/>
      <c r="J184" s="20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42"/>
      <c r="X184" s="7"/>
      <c r="Y184" s="7"/>
      <c r="Z184" s="7"/>
    </row>
    <row r="185" spans="1:26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20"/>
      <c r="J185" s="20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42"/>
      <c r="X185" s="7"/>
      <c r="Y185" s="7"/>
      <c r="Z185" s="7"/>
    </row>
    <row r="186" spans="1:26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20"/>
      <c r="J186" s="20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42"/>
      <c r="X186" s="7"/>
      <c r="Y186" s="7"/>
      <c r="Z186" s="7"/>
    </row>
    <row r="187" spans="1:26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20"/>
      <c r="J187" s="20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42"/>
      <c r="X187" s="7"/>
      <c r="Y187" s="7"/>
      <c r="Z187" s="7"/>
    </row>
    <row r="188" spans="1:26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20"/>
      <c r="J188" s="20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42"/>
      <c r="X188" s="7"/>
      <c r="Y188" s="7"/>
      <c r="Z188" s="7"/>
    </row>
    <row r="189" spans="1:26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20"/>
      <c r="J189" s="20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42"/>
      <c r="X189" s="7"/>
      <c r="Y189" s="7"/>
      <c r="Z189" s="7"/>
    </row>
    <row r="190" spans="1:26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20"/>
      <c r="J190" s="20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42"/>
      <c r="X190" s="7"/>
      <c r="Y190" s="7"/>
      <c r="Z190" s="7"/>
    </row>
    <row r="191" spans="1:26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20"/>
      <c r="J191" s="20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42"/>
      <c r="X191" s="7"/>
      <c r="Y191" s="7"/>
      <c r="Z191" s="7"/>
    </row>
    <row r="192" spans="1:26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20"/>
      <c r="J192" s="20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42"/>
      <c r="X192" s="7"/>
      <c r="Y192" s="7"/>
      <c r="Z192" s="7"/>
    </row>
    <row r="193" spans="1:26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20"/>
      <c r="J193" s="20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42"/>
      <c r="X193" s="7"/>
      <c r="Y193" s="7"/>
      <c r="Z193" s="7"/>
    </row>
    <row r="194" spans="1:26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20"/>
      <c r="J194" s="20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42"/>
      <c r="X194" s="7"/>
      <c r="Y194" s="7"/>
      <c r="Z194" s="7"/>
    </row>
    <row r="195" spans="1:26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20"/>
      <c r="J195" s="20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42"/>
      <c r="X195" s="7"/>
      <c r="Y195" s="7"/>
      <c r="Z195" s="7"/>
    </row>
    <row r="196" spans="1:26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20"/>
      <c r="J196" s="20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42"/>
      <c r="X196" s="7"/>
      <c r="Y196" s="7"/>
      <c r="Z196" s="7"/>
    </row>
    <row r="197" spans="1:26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20"/>
      <c r="J197" s="20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42"/>
      <c r="X197" s="7"/>
      <c r="Y197" s="7"/>
      <c r="Z197" s="7"/>
    </row>
    <row r="198" spans="1:26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20"/>
      <c r="J198" s="20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42"/>
      <c r="X198" s="7"/>
      <c r="Y198" s="7"/>
      <c r="Z198" s="7"/>
    </row>
    <row r="199" spans="1:26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20"/>
      <c r="J199" s="20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42"/>
      <c r="X199" s="7"/>
      <c r="Y199" s="7"/>
      <c r="Z199" s="7"/>
    </row>
    <row r="200" spans="1:26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20"/>
      <c r="J200" s="20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42"/>
      <c r="X200" s="7"/>
      <c r="Y200" s="7"/>
      <c r="Z200" s="7"/>
    </row>
    <row r="201" spans="1:26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20"/>
      <c r="J201" s="20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42"/>
      <c r="X201" s="7"/>
      <c r="Y201" s="7"/>
      <c r="Z201" s="7"/>
    </row>
    <row r="202" spans="1:26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20"/>
      <c r="J202" s="20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42"/>
      <c r="X202" s="7"/>
      <c r="Y202" s="7"/>
      <c r="Z202" s="7"/>
    </row>
    <row r="203" spans="1:26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20"/>
      <c r="J203" s="20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42"/>
      <c r="X203" s="7"/>
      <c r="Y203" s="7"/>
      <c r="Z203" s="7"/>
    </row>
    <row r="204" spans="1:26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20"/>
      <c r="J204" s="20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42"/>
      <c r="X204" s="7"/>
      <c r="Y204" s="7"/>
      <c r="Z204" s="7"/>
    </row>
    <row r="205" spans="1:26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20"/>
      <c r="J205" s="20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42"/>
      <c r="X205" s="7"/>
      <c r="Y205" s="7"/>
      <c r="Z205" s="7"/>
    </row>
    <row r="206" spans="1:26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20"/>
      <c r="J206" s="20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42"/>
      <c r="X206" s="7"/>
      <c r="Y206" s="7"/>
      <c r="Z206" s="7"/>
    </row>
    <row r="207" spans="1:26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20"/>
      <c r="J207" s="20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42"/>
      <c r="X207" s="7"/>
      <c r="Y207" s="7"/>
      <c r="Z207" s="7"/>
    </row>
    <row r="208" spans="1:26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20"/>
      <c r="J208" s="20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42"/>
      <c r="X208" s="7"/>
      <c r="Y208" s="7"/>
      <c r="Z208" s="7"/>
    </row>
    <row r="209" spans="1:26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20"/>
      <c r="J209" s="20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42"/>
      <c r="X209" s="7"/>
      <c r="Y209" s="7"/>
      <c r="Z209" s="7"/>
    </row>
    <row r="210" spans="1:26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20"/>
      <c r="J210" s="20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42"/>
      <c r="X210" s="7"/>
      <c r="Y210" s="7"/>
      <c r="Z210" s="7"/>
    </row>
    <row r="211" spans="1:26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20"/>
      <c r="J211" s="20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42"/>
      <c r="X211" s="7"/>
      <c r="Y211" s="7"/>
      <c r="Z211" s="7"/>
    </row>
    <row r="212" spans="1:26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20"/>
      <c r="J212" s="20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42"/>
      <c r="X212" s="7"/>
      <c r="Y212" s="7"/>
      <c r="Z212" s="7"/>
    </row>
    <row r="213" spans="1:26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20"/>
      <c r="J213" s="20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42"/>
      <c r="X213" s="7"/>
      <c r="Y213" s="7"/>
      <c r="Z213" s="7"/>
    </row>
    <row r="214" spans="1:26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20"/>
      <c r="J214" s="20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42"/>
      <c r="X214" s="7"/>
      <c r="Y214" s="7"/>
      <c r="Z214" s="7"/>
    </row>
    <row r="215" spans="1:26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20"/>
      <c r="J215" s="20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42"/>
      <c r="X215" s="7"/>
      <c r="Y215" s="7"/>
      <c r="Z215" s="7"/>
    </row>
    <row r="216" spans="1:26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20"/>
      <c r="J216" s="20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42"/>
      <c r="X216" s="7"/>
      <c r="Y216" s="7"/>
      <c r="Z216" s="7"/>
    </row>
    <row r="217" spans="1:26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20"/>
      <c r="J217" s="20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42"/>
      <c r="X217" s="7"/>
      <c r="Y217" s="7"/>
      <c r="Z217" s="7"/>
    </row>
    <row r="218" spans="1:26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20"/>
      <c r="J218" s="20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42"/>
      <c r="X218" s="7"/>
      <c r="Y218" s="7"/>
      <c r="Z218" s="7"/>
    </row>
    <row r="219" spans="1:26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20"/>
      <c r="J219" s="20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42"/>
      <c r="X219" s="7"/>
      <c r="Y219" s="7"/>
      <c r="Z219" s="7"/>
    </row>
    <row r="220" spans="1:26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20"/>
      <c r="J220" s="20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42"/>
      <c r="X220" s="7"/>
      <c r="Y220" s="7"/>
      <c r="Z220" s="7"/>
    </row>
    <row r="221" spans="1:26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20"/>
      <c r="J221" s="20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42"/>
      <c r="X221" s="7"/>
      <c r="Y221" s="7"/>
      <c r="Z221" s="7"/>
    </row>
    <row r="222" spans="1:26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20"/>
      <c r="J222" s="20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42"/>
      <c r="X222" s="7"/>
      <c r="Y222" s="7"/>
      <c r="Z222" s="7"/>
    </row>
    <row r="223" spans="1:26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20"/>
      <c r="J223" s="20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42"/>
      <c r="X223" s="7"/>
      <c r="Y223" s="7"/>
      <c r="Z223" s="7"/>
    </row>
    <row r="224" spans="1:26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20"/>
      <c r="J224" s="20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42"/>
      <c r="X224" s="7"/>
      <c r="Y224" s="7"/>
      <c r="Z224" s="7"/>
    </row>
    <row r="225" spans="1:26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20"/>
      <c r="J225" s="20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42"/>
      <c r="X225" s="7"/>
      <c r="Y225" s="7"/>
      <c r="Z225" s="7"/>
    </row>
    <row r="226" spans="1:26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20"/>
      <c r="J226" s="20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42"/>
      <c r="X226" s="7"/>
      <c r="Y226" s="7"/>
      <c r="Z226" s="7"/>
    </row>
    <row r="227" spans="1:26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20"/>
      <c r="J227" s="20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42"/>
      <c r="X227" s="7"/>
      <c r="Y227" s="7"/>
      <c r="Z227" s="7"/>
    </row>
    <row r="228" spans="1:26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20"/>
      <c r="J228" s="20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42"/>
      <c r="X228" s="7"/>
      <c r="Y228" s="7"/>
      <c r="Z228" s="7"/>
    </row>
    <row r="229" spans="1:26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20"/>
      <c r="J229" s="20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42"/>
      <c r="X229" s="7"/>
      <c r="Y229" s="7"/>
      <c r="Z229" s="7"/>
    </row>
    <row r="230" spans="1:26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20"/>
      <c r="J230" s="20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42"/>
      <c r="X230" s="7"/>
      <c r="Y230" s="7"/>
      <c r="Z230" s="7"/>
    </row>
    <row r="231" spans="1:26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20"/>
      <c r="J231" s="20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42"/>
      <c r="X231" s="7"/>
      <c r="Y231" s="7"/>
      <c r="Z231" s="7"/>
    </row>
    <row r="232" spans="1:26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20"/>
      <c r="J232" s="20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42"/>
      <c r="X232" s="7"/>
      <c r="Y232" s="7"/>
      <c r="Z232" s="7"/>
    </row>
    <row r="233" spans="1:26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20"/>
      <c r="J233" s="20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42"/>
      <c r="X233" s="7"/>
      <c r="Y233" s="7"/>
      <c r="Z233" s="7"/>
    </row>
    <row r="234" spans="1:26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20"/>
      <c r="J234" s="20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42"/>
      <c r="X234" s="7"/>
      <c r="Y234" s="7"/>
      <c r="Z234" s="7"/>
    </row>
    <row r="235" spans="1:26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20"/>
      <c r="J235" s="20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42"/>
      <c r="X235" s="7"/>
      <c r="Y235" s="7"/>
      <c r="Z235" s="7"/>
    </row>
    <row r="236" spans="1:26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20"/>
      <c r="J236" s="20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42"/>
      <c r="X236" s="7"/>
      <c r="Y236" s="7"/>
      <c r="Z236" s="7"/>
    </row>
    <row r="237" spans="1:26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20"/>
      <c r="J237" s="20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42"/>
      <c r="X237" s="7"/>
      <c r="Y237" s="7"/>
      <c r="Z237" s="7"/>
    </row>
    <row r="238" spans="1:26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20"/>
      <c r="J238" s="20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42"/>
      <c r="X238" s="7"/>
      <c r="Y238" s="7"/>
      <c r="Z238" s="7"/>
    </row>
    <row r="239" spans="1:26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20"/>
      <c r="J239" s="20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42"/>
      <c r="X239" s="7"/>
      <c r="Y239" s="7"/>
      <c r="Z239" s="7"/>
    </row>
    <row r="240" spans="1:26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20"/>
      <c r="J240" s="20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42"/>
      <c r="X240" s="7"/>
      <c r="Y240" s="7"/>
      <c r="Z240" s="7"/>
    </row>
    <row r="241" spans="1:26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20"/>
      <c r="J241" s="20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42"/>
      <c r="X241" s="7"/>
      <c r="Y241" s="7"/>
      <c r="Z241" s="7"/>
    </row>
    <row r="242" spans="1:26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20"/>
      <c r="J242" s="20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42"/>
      <c r="X242" s="7"/>
      <c r="Y242" s="7"/>
      <c r="Z242" s="7"/>
    </row>
    <row r="243" spans="1:26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20"/>
      <c r="J243" s="20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42"/>
      <c r="X243" s="7"/>
      <c r="Y243" s="7"/>
      <c r="Z243" s="7"/>
    </row>
    <row r="244" spans="1:26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20"/>
      <c r="J244" s="20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42"/>
      <c r="X244" s="7"/>
      <c r="Y244" s="7"/>
      <c r="Z244" s="7"/>
    </row>
    <row r="245" spans="1:26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20"/>
      <c r="J245" s="20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42"/>
      <c r="X245" s="7"/>
      <c r="Y245" s="7"/>
      <c r="Z245" s="7"/>
    </row>
    <row r="246" spans="1:26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20"/>
      <c r="J246" s="20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42"/>
      <c r="X246" s="7"/>
      <c r="Y246" s="7"/>
      <c r="Z246" s="7"/>
    </row>
    <row r="247" spans="1:26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20"/>
      <c r="J247" s="20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42"/>
      <c r="X247" s="7"/>
      <c r="Y247" s="7"/>
      <c r="Z247" s="7"/>
    </row>
    <row r="248" spans="1:26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20"/>
      <c r="J248" s="20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42"/>
      <c r="X248" s="7"/>
      <c r="Y248" s="7"/>
      <c r="Z248" s="7"/>
    </row>
    <row r="249" spans="1:26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20"/>
      <c r="J249" s="20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42"/>
      <c r="X249" s="7"/>
      <c r="Y249" s="7"/>
      <c r="Z249" s="7"/>
    </row>
    <row r="250" spans="1:26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20"/>
      <c r="J250" s="20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42"/>
      <c r="X250" s="7"/>
      <c r="Y250" s="7"/>
      <c r="Z250" s="7"/>
    </row>
    <row r="251" spans="1:26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20"/>
      <c r="J251" s="20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42"/>
      <c r="X251" s="7"/>
      <c r="Y251" s="7"/>
      <c r="Z251" s="7"/>
    </row>
    <row r="252" spans="1:26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20"/>
      <c r="J252" s="20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42"/>
      <c r="X252" s="7"/>
      <c r="Y252" s="7"/>
      <c r="Z252" s="7"/>
    </row>
    <row r="253" spans="1:26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20"/>
      <c r="J253" s="20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42"/>
      <c r="X253" s="7"/>
      <c r="Y253" s="7"/>
      <c r="Z253" s="7"/>
    </row>
    <row r="254" spans="1:26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20"/>
      <c r="J254" s="20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42"/>
      <c r="X254" s="7"/>
      <c r="Y254" s="7"/>
      <c r="Z254" s="7"/>
    </row>
    <row r="255" spans="1:26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20"/>
      <c r="J255" s="20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42"/>
      <c r="X255" s="7"/>
      <c r="Y255" s="7"/>
      <c r="Z255" s="7"/>
    </row>
    <row r="256" spans="1:26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20"/>
      <c r="J256" s="20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42"/>
      <c r="X256" s="7"/>
      <c r="Y256" s="7"/>
      <c r="Z256" s="7"/>
    </row>
    <row r="257" spans="1:26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20"/>
      <c r="J257" s="20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42"/>
      <c r="X257" s="7"/>
      <c r="Y257" s="7"/>
      <c r="Z257" s="7"/>
    </row>
    <row r="258" spans="1:26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20"/>
      <c r="J258" s="20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42"/>
      <c r="X258" s="7"/>
      <c r="Y258" s="7"/>
      <c r="Z258" s="7"/>
    </row>
    <row r="259" spans="1:26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20"/>
      <c r="J259" s="20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42"/>
      <c r="X259" s="7"/>
      <c r="Y259" s="7"/>
      <c r="Z259" s="7"/>
    </row>
    <row r="260" spans="1:26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20"/>
      <c r="J260" s="20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42"/>
      <c r="X260" s="7"/>
      <c r="Y260" s="7"/>
      <c r="Z260" s="7"/>
    </row>
    <row r="261" spans="1:26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20"/>
      <c r="J261" s="20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42"/>
      <c r="X261" s="7"/>
      <c r="Y261" s="7"/>
      <c r="Z261" s="7"/>
    </row>
    <row r="262" spans="1:26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20"/>
      <c r="J262" s="20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42"/>
      <c r="X262" s="7"/>
      <c r="Y262" s="7"/>
      <c r="Z262" s="7"/>
    </row>
    <row r="263" spans="1:26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20"/>
      <c r="J263" s="20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42"/>
      <c r="X263" s="7"/>
      <c r="Y263" s="7"/>
      <c r="Z263" s="7"/>
    </row>
    <row r="264" spans="1:26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20"/>
      <c r="J264" s="20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42"/>
      <c r="X264" s="7"/>
      <c r="Y264" s="7"/>
      <c r="Z264" s="7"/>
    </row>
    <row r="265" spans="1:26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20"/>
      <c r="J265" s="20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42"/>
      <c r="X265" s="7"/>
      <c r="Y265" s="7"/>
      <c r="Z265" s="7"/>
    </row>
    <row r="266" spans="1:26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20"/>
      <c r="J266" s="20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42"/>
      <c r="X266" s="7"/>
      <c r="Y266" s="7"/>
      <c r="Z266" s="7"/>
    </row>
    <row r="267" spans="1:26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20"/>
      <c r="J267" s="20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42"/>
      <c r="X267" s="7"/>
      <c r="Y267" s="7"/>
      <c r="Z267" s="7"/>
    </row>
    <row r="268" spans="1:26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20"/>
      <c r="J268" s="20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42"/>
      <c r="X268" s="7"/>
      <c r="Y268" s="7"/>
      <c r="Z268" s="7"/>
    </row>
    <row r="269" spans="1:26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20"/>
      <c r="J269" s="20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42"/>
      <c r="X269" s="7"/>
      <c r="Y269" s="7"/>
      <c r="Z269" s="7"/>
    </row>
    <row r="270" spans="1:26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20"/>
      <c r="J270" s="20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42"/>
      <c r="X270" s="7"/>
      <c r="Y270" s="7"/>
      <c r="Z270" s="7"/>
    </row>
    <row r="271" spans="1:26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20"/>
      <c r="J271" s="20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42"/>
      <c r="X271" s="7"/>
      <c r="Y271" s="7"/>
      <c r="Z271" s="7"/>
    </row>
    <row r="272" spans="1:26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20"/>
      <c r="J272" s="20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42"/>
      <c r="X272" s="7"/>
      <c r="Y272" s="7"/>
      <c r="Z272" s="7"/>
    </row>
    <row r="273" spans="1:26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20"/>
      <c r="J273" s="20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42"/>
      <c r="X273" s="7"/>
      <c r="Y273" s="7"/>
      <c r="Z273" s="7"/>
    </row>
    <row r="274" spans="1:26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20"/>
      <c r="J274" s="20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42"/>
      <c r="X274" s="7"/>
      <c r="Y274" s="7"/>
      <c r="Z274" s="7"/>
    </row>
    <row r="275" spans="1:26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20"/>
      <c r="J275" s="20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42"/>
      <c r="X275" s="7"/>
      <c r="Y275" s="7"/>
      <c r="Z275" s="7"/>
    </row>
    <row r="276" spans="1:26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20"/>
      <c r="J276" s="20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42"/>
      <c r="X276" s="7"/>
      <c r="Y276" s="7"/>
      <c r="Z276" s="7"/>
    </row>
    <row r="277" spans="1:26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20"/>
      <c r="J277" s="20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42"/>
      <c r="X277" s="7"/>
      <c r="Y277" s="7"/>
      <c r="Z277" s="7"/>
    </row>
    <row r="278" spans="1:26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20"/>
      <c r="J278" s="20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42"/>
      <c r="X278" s="7"/>
      <c r="Y278" s="7"/>
      <c r="Z278" s="7"/>
    </row>
    <row r="279" spans="1:26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20"/>
      <c r="J279" s="20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42"/>
      <c r="X279" s="7"/>
      <c r="Y279" s="7"/>
      <c r="Z279" s="7"/>
    </row>
    <row r="280" spans="1:26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20"/>
      <c r="J280" s="20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42"/>
      <c r="X280" s="7"/>
      <c r="Y280" s="7"/>
      <c r="Z280" s="7"/>
    </row>
    <row r="281" spans="1:26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20"/>
      <c r="J281" s="20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42"/>
      <c r="X281" s="7"/>
      <c r="Y281" s="7"/>
      <c r="Z281" s="7"/>
    </row>
    <row r="282" spans="1:26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20"/>
      <c r="J282" s="20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42"/>
      <c r="X282" s="7"/>
      <c r="Y282" s="7"/>
      <c r="Z282" s="7"/>
    </row>
    <row r="283" spans="1:26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20"/>
      <c r="J283" s="20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42"/>
      <c r="X283" s="7"/>
      <c r="Y283" s="7"/>
      <c r="Z283" s="7"/>
    </row>
    <row r="284" spans="1:26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20"/>
      <c r="J284" s="20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42"/>
      <c r="X284" s="7"/>
      <c r="Y284" s="7"/>
      <c r="Z284" s="7"/>
    </row>
    <row r="285" spans="1:26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20"/>
      <c r="J285" s="20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42"/>
      <c r="X285" s="7"/>
      <c r="Y285" s="7"/>
      <c r="Z285" s="7"/>
    </row>
    <row r="286" spans="1:26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20"/>
      <c r="J286" s="20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42"/>
      <c r="X286" s="7"/>
      <c r="Y286" s="7"/>
      <c r="Z286" s="7"/>
    </row>
    <row r="287" spans="1:26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20"/>
      <c r="J287" s="20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42"/>
      <c r="X287" s="7"/>
      <c r="Y287" s="7"/>
      <c r="Z287" s="7"/>
    </row>
    <row r="288" spans="1:26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20"/>
      <c r="J288" s="20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42"/>
      <c r="X288" s="7"/>
      <c r="Y288" s="7"/>
      <c r="Z288" s="7"/>
    </row>
    <row r="289" spans="1:26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20"/>
      <c r="J289" s="20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42"/>
      <c r="X289" s="7"/>
      <c r="Y289" s="7"/>
      <c r="Z289" s="7"/>
    </row>
    <row r="290" spans="1:26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20"/>
      <c r="J290" s="20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42"/>
      <c r="X290" s="7"/>
      <c r="Y290" s="7"/>
      <c r="Z290" s="7"/>
    </row>
    <row r="291" spans="1:26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20"/>
      <c r="J291" s="20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42"/>
      <c r="X291" s="7"/>
      <c r="Y291" s="7"/>
      <c r="Z291" s="7"/>
    </row>
    <row r="292" spans="1:26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20"/>
      <c r="J292" s="20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42"/>
      <c r="X292" s="7"/>
      <c r="Y292" s="7"/>
      <c r="Z292" s="7"/>
    </row>
    <row r="293" spans="1:26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20"/>
      <c r="J293" s="20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42"/>
      <c r="X293" s="7"/>
      <c r="Y293" s="7"/>
      <c r="Z293" s="7"/>
    </row>
    <row r="294" spans="1:26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20"/>
      <c r="J294" s="20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42"/>
      <c r="X294" s="7"/>
      <c r="Y294" s="7"/>
      <c r="Z294" s="7"/>
    </row>
    <row r="295" spans="1:26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20"/>
      <c r="J295" s="20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42"/>
      <c r="X295" s="7"/>
      <c r="Y295" s="7"/>
      <c r="Z295" s="7"/>
    </row>
    <row r="296" spans="1:26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20"/>
      <c r="J296" s="20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42"/>
      <c r="X296" s="7"/>
      <c r="Y296" s="7"/>
      <c r="Z296" s="7"/>
    </row>
    <row r="297" spans="1:26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20"/>
      <c r="J297" s="20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42"/>
      <c r="X297" s="7"/>
      <c r="Y297" s="7"/>
      <c r="Z297" s="7"/>
    </row>
    <row r="298" spans="1:26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20"/>
      <c r="J298" s="20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42"/>
      <c r="X298" s="7"/>
      <c r="Y298" s="7"/>
      <c r="Z298" s="7"/>
    </row>
    <row r="299" spans="1:26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20"/>
      <c r="J299" s="20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42"/>
      <c r="X299" s="7"/>
      <c r="Y299" s="7"/>
      <c r="Z299" s="7"/>
    </row>
    <row r="300" spans="1:26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20"/>
      <c r="J300" s="20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42"/>
      <c r="X300" s="7"/>
      <c r="Y300" s="7"/>
      <c r="Z300" s="7"/>
    </row>
    <row r="301" spans="1:26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20"/>
      <c r="J301" s="20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42"/>
      <c r="X301" s="7"/>
      <c r="Y301" s="7"/>
      <c r="Z301" s="7"/>
    </row>
    <row r="302" spans="1:26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20"/>
      <c r="J302" s="20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42"/>
      <c r="X302" s="7"/>
      <c r="Y302" s="7"/>
      <c r="Z302" s="7"/>
    </row>
    <row r="303" spans="1:26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20"/>
      <c r="J303" s="20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42"/>
      <c r="X303" s="7"/>
      <c r="Y303" s="7"/>
      <c r="Z303" s="7"/>
    </row>
    <row r="304" spans="1:26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20"/>
      <c r="J304" s="20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42"/>
      <c r="X304" s="7"/>
      <c r="Y304" s="7"/>
      <c r="Z304" s="7"/>
    </row>
    <row r="305" spans="1:26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20"/>
      <c r="J305" s="20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42"/>
      <c r="X305" s="7"/>
      <c r="Y305" s="7"/>
      <c r="Z305" s="7"/>
    </row>
    <row r="306" spans="1:26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20"/>
      <c r="J306" s="20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42"/>
      <c r="X306" s="7"/>
      <c r="Y306" s="7"/>
      <c r="Z306" s="7"/>
    </row>
    <row r="307" spans="1:26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20"/>
      <c r="J307" s="20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42"/>
      <c r="X307" s="7"/>
      <c r="Y307" s="7"/>
      <c r="Z307" s="7"/>
    </row>
    <row r="308" spans="1:26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20"/>
      <c r="J308" s="20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42"/>
      <c r="X308" s="7"/>
      <c r="Y308" s="7"/>
      <c r="Z308" s="7"/>
    </row>
    <row r="309" spans="1:26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20"/>
      <c r="J309" s="20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42"/>
      <c r="X309" s="7"/>
      <c r="Y309" s="7"/>
      <c r="Z309" s="7"/>
    </row>
    <row r="310" spans="1:26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20"/>
      <c r="J310" s="20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42"/>
      <c r="X310" s="7"/>
      <c r="Y310" s="7"/>
      <c r="Z310" s="7"/>
    </row>
    <row r="311" spans="1:26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20"/>
      <c r="J311" s="20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42"/>
      <c r="X311" s="7"/>
      <c r="Y311" s="7"/>
      <c r="Z311" s="7"/>
    </row>
    <row r="312" spans="1:26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20"/>
      <c r="J312" s="20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42"/>
      <c r="X312" s="7"/>
      <c r="Y312" s="7"/>
      <c r="Z312" s="7"/>
    </row>
    <row r="313" spans="1:26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20"/>
      <c r="J313" s="20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42"/>
      <c r="X313" s="7"/>
      <c r="Y313" s="7"/>
      <c r="Z313" s="7"/>
    </row>
    <row r="314" spans="1:26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20"/>
      <c r="J314" s="20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42"/>
      <c r="X314" s="7"/>
      <c r="Y314" s="7"/>
      <c r="Z314" s="7"/>
    </row>
    <row r="315" spans="1:26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20"/>
      <c r="J315" s="20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42"/>
      <c r="X315" s="7"/>
      <c r="Y315" s="7"/>
      <c r="Z315" s="7"/>
    </row>
    <row r="316" spans="1:26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20"/>
      <c r="J316" s="20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42"/>
      <c r="X316" s="7"/>
      <c r="Y316" s="7"/>
      <c r="Z316" s="7"/>
    </row>
    <row r="317" spans="1:26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20"/>
      <c r="J317" s="20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42"/>
      <c r="X317" s="7"/>
      <c r="Y317" s="7"/>
      <c r="Z317" s="7"/>
    </row>
    <row r="318" spans="1:26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20"/>
      <c r="J318" s="20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42"/>
      <c r="X318" s="7"/>
      <c r="Y318" s="7"/>
      <c r="Z318" s="7"/>
    </row>
    <row r="319" spans="1:26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20"/>
      <c r="J319" s="20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42"/>
      <c r="X319" s="7"/>
      <c r="Y319" s="7"/>
      <c r="Z319" s="7"/>
    </row>
    <row r="320" spans="1:26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20"/>
      <c r="J320" s="20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42"/>
      <c r="X320" s="7"/>
      <c r="Y320" s="7"/>
      <c r="Z320" s="7"/>
    </row>
    <row r="321" spans="1:26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20"/>
      <c r="J321" s="20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42"/>
      <c r="X321" s="7"/>
      <c r="Y321" s="7"/>
      <c r="Z321" s="7"/>
    </row>
    <row r="322" spans="1:26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20"/>
      <c r="J322" s="20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42"/>
      <c r="X322" s="7"/>
      <c r="Y322" s="7"/>
      <c r="Z322" s="7"/>
    </row>
    <row r="323" spans="1:26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20"/>
      <c r="J323" s="20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42"/>
      <c r="X323" s="7"/>
      <c r="Y323" s="7"/>
      <c r="Z323" s="7"/>
    </row>
    <row r="324" spans="1:26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20"/>
      <c r="J324" s="20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42"/>
      <c r="X324" s="7"/>
      <c r="Y324" s="7"/>
      <c r="Z324" s="7"/>
    </row>
    <row r="325" spans="1:26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20"/>
      <c r="J325" s="20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42"/>
      <c r="X325" s="7"/>
      <c r="Y325" s="7"/>
      <c r="Z325" s="7"/>
    </row>
    <row r="326" spans="1:26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20"/>
      <c r="J326" s="20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42"/>
      <c r="X326" s="7"/>
      <c r="Y326" s="7"/>
      <c r="Z326" s="7"/>
    </row>
    <row r="327" spans="1:26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20"/>
      <c r="J327" s="20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42"/>
      <c r="X327" s="7"/>
      <c r="Y327" s="7"/>
      <c r="Z327" s="7"/>
    </row>
    <row r="328" spans="1:26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20"/>
      <c r="J328" s="20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42"/>
      <c r="X328" s="7"/>
      <c r="Y328" s="7"/>
      <c r="Z328" s="7"/>
    </row>
    <row r="329" spans="1:26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20"/>
      <c r="J329" s="20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42"/>
      <c r="X329" s="7"/>
      <c r="Y329" s="7"/>
      <c r="Z329" s="7"/>
    </row>
    <row r="330" spans="1:26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20"/>
      <c r="J330" s="20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42"/>
      <c r="X330" s="7"/>
      <c r="Y330" s="7"/>
      <c r="Z330" s="7"/>
    </row>
    <row r="331" spans="1:26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20"/>
      <c r="J331" s="20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42"/>
      <c r="X331" s="7"/>
      <c r="Y331" s="7"/>
      <c r="Z331" s="7"/>
    </row>
    <row r="332" spans="1:26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20"/>
      <c r="J332" s="20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42"/>
      <c r="X332" s="7"/>
      <c r="Y332" s="7"/>
      <c r="Z332" s="7"/>
    </row>
    <row r="333" spans="1:26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20"/>
      <c r="J333" s="20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42"/>
      <c r="X333" s="7"/>
      <c r="Y333" s="7"/>
      <c r="Z333" s="7"/>
    </row>
    <row r="334" spans="1:26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20"/>
      <c r="J334" s="20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42"/>
      <c r="X334" s="7"/>
      <c r="Y334" s="7"/>
      <c r="Z334" s="7"/>
    </row>
    <row r="335" spans="1:26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20"/>
      <c r="J335" s="20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42"/>
      <c r="X335" s="7"/>
      <c r="Y335" s="7"/>
      <c r="Z335" s="7"/>
    </row>
    <row r="336" spans="1:26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20"/>
      <c r="J336" s="20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42"/>
      <c r="X336" s="7"/>
      <c r="Y336" s="7"/>
      <c r="Z336" s="7"/>
    </row>
    <row r="337" spans="1:26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20"/>
      <c r="J337" s="20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42"/>
      <c r="X337" s="7"/>
      <c r="Y337" s="7"/>
      <c r="Z337" s="7"/>
    </row>
    <row r="338" spans="1:26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20"/>
      <c r="J338" s="20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42"/>
      <c r="X338" s="7"/>
      <c r="Y338" s="7"/>
      <c r="Z338" s="7"/>
    </row>
    <row r="339" spans="1:26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20"/>
      <c r="J339" s="20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42"/>
      <c r="X339" s="7"/>
      <c r="Y339" s="7"/>
      <c r="Z339" s="7"/>
    </row>
    <row r="340" spans="1:26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20"/>
      <c r="J340" s="20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42"/>
      <c r="X340" s="7"/>
      <c r="Y340" s="7"/>
      <c r="Z340" s="7"/>
    </row>
    <row r="341" spans="1:26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20"/>
      <c r="J341" s="20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42"/>
      <c r="X341" s="7"/>
      <c r="Y341" s="7"/>
      <c r="Z341" s="7"/>
    </row>
    <row r="342" spans="1:26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20"/>
      <c r="J342" s="20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42"/>
      <c r="X342" s="7"/>
      <c r="Y342" s="7"/>
      <c r="Z342" s="7"/>
    </row>
    <row r="343" spans="1:26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20"/>
      <c r="J343" s="20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42"/>
      <c r="X343" s="7"/>
      <c r="Y343" s="7"/>
      <c r="Z343" s="7"/>
    </row>
    <row r="344" spans="1:26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20"/>
      <c r="J344" s="20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42"/>
      <c r="X344" s="7"/>
      <c r="Y344" s="7"/>
      <c r="Z344" s="7"/>
    </row>
    <row r="345" spans="1:26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20"/>
      <c r="J345" s="20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42"/>
      <c r="X345" s="7"/>
      <c r="Y345" s="7"/>
      <c r="Z345" s="7"/>
    </row>
    <row r="346" spans="1:26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20"/>
      <c r="J346" s="20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42"/>
      <c r="X346" s="7"/>
      <c r="Y346" s="7"/>
      <c r="Z346" s="7"/>
    </row>
    <row r="347" spans="1:26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20"/>
      <c r="J347" s="20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42"/>
      <c r="X347" s="7"/>
      <c r="Y347" s="7"/>
      <c r="Z347" s="7"/>
    </row>
    <row r="348" spans="1:26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20"/>
      <c r="J348" s="20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42"/>
      <c r="X348" s="7"/>
      <c r="Y348" s="7"/>
      <c r="Z348" s="7"/>
    </row>
    <row r="349" spans="1:26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20"/>
      <c r="J349" s="20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42"/>
      <c r="X349" s="7"/>
      <c r="Y349" s="7"/>
      <c r="Z349" s="7"/>
    </row>
    <row r="350" spans="1:26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20"/>
      <c r="J350" s="20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42"/>
      <c r="X350" s="7"/>
      <c r="Y350" s="7"/>
      <c r="Z350" s="7"/>
    </row>
    <row r="351" spans="1:26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20"/>
      <c r="J351" s="20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42"/>
      <c r="X351" s="7"/>
      <c r="Y351" s="7"/>
      <c r="Z351" s="7"/>
    </row>
    <row r="352" spans="1:26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20"/>
      <c r="J352" s="20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42"/>
      <c r="X352" s="7"/>
      <c r="Y352" s="7"/>
      <c r="Z352" s="7"/>
    </row>
    <row r="353" spans="1:26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20"/>
      <c r="J353" s="20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42"/>
      <c r="X353" s="7"/>
      <c r="Y353" s="7"/>
      <c r="Z353" s="7"/>
    </row>
    <row r="354" spans="1:26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20"/>
      <c r="J354" s="20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42"/>
      <c r="X354" s="7"/>
      <c r="Y354" s="7"/>
      <c r="Z354" s="7"/>
    </row>
    <row r="355" spans="1:26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20"/>
      <c r="J355" s="20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42"/>
      <c r="X355" s="7"/>
      <c r="Y355" s="7"/>
      <c r="Z355" s="7"/>
    </row>
    <row r="356" spans="1:26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20"/>
      <c r="J356" s="20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42"/>
      <c r="X356" s="7"/>
      <c r="Y356" s="7"/>
      <c r="Z356" s="7"/>
    </row>
    <row r="357" spans="1:26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20"/>
      <c r="J357" s="20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42"/>
      <c r="X357" s="7"/>
      <c r="Y357" s="7"/>
      <c r="Z357" s="7"/>
    </row>
    <row r="358" spans="1:26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20"/>
      <c r="J358" s="20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42"/>
      <c r="X358" s="7"/>
      <c r="Y358" s="7"/>
      <c r="Z358" s="7"/>
    </row>
    <row r="359" spans="1:26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20"/>
      <c r="J359" s="20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42"/>
      <c r="X359" s="7"/>
      <c r="Y359" s="7"/>
      <c r="Z359" s="7"/>
    </row>
    <row r="360" spans="1:26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20"/>
      <c r="J360" s="20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42"/>
      <c r="X360" s="7"/>
      <c r="Y360" s="7"/>
      <c r="Z360" s="7"/>
    </row>
    <row r="361" spans="1:26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20"/>
      <c r="J361" s="20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42"/>
      <c r="X361" s="7"/>
      <c r="Y361" s="7"/>
      <c r="Z361" s="7"/>
    </row>
    <row r="362" spans="1:26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20"/>
      <c r="J362" s="20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42"/>
      <c r="X362" s="7"/>
      <c r="Y362" s="7"/>
      <c r="Z362" s="7"/>
    </row>
    <row r="363" spans="1:26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20"/>
      <c r="J363" s="20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42"/>
      <c r="X363" s="7"/>
      <c r="Y363" s="7"/>
      <c r="Z363" s="7"/>
    </row>
    <row r="364" spans="1:26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20"/>
      <c r="J364" s="20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42"/>
      <c r="X364" s="7"/>
      <c r="Y364" s="7"/>
      <c r="Z364" s="7"/>
    </row>
    <row r="365" spans="1:26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20"/>
      <c r="J365" s="20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42"/>
      <c r="X365" s="7"/>
      <c r="Y365" s="7"/>
      <c r="Z365" s="7"/>
    </row>
    <row r="366" spans="1:26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20"/>
      <c r="J366" s="20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42"/>
      <c r="X366" s="7"/>
      <c r="Y366" s="7"/>
      <c r="Z366" s="7"/>
    </row>
    <row r="367" spans="1:26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20"/>
      <c r="J367" s="20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42"/>
      <c r="X367" s="7"/>
      <c r="Y367" s="7"/>
      <c r="Z367" s="7"/>
    </row>
    <row r="368" spans="1:26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20"/>
      <c r="J368" s="20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42"/>
      <c r="X368" s="7"/>
      <c r="Y368" s="7"/>
      <c r="Z368" s="7"/>
    </row>
    <row r="369" spans="1:26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20"/>
      <c r="J369" s="20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42"/>
      <c r="X369" s="7"/>
      <c r="Y369" s="7"/>
      <c r="Z369" s="7"/>
    </row>
    <row r="370" spans="1:26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20"/>
      <c r="J370" s="20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42"/>
      <c r="X370" s="7"/>
      <c r="Y370" s="7"/>
      <c r="Z370" s="7"/>
    </row>
    <row r="371" spans="1:26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20"/>
      <c r="J371" s="20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42"/>
      <c r="X371" s="7"/>
      <c r="Y371" s="7"/>
      <c r="Z371" s="7"/>
    </row>
    <row r="372" spans="1:26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20"/>
      <c r="J372" s="20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42"/>
      <c r="X372" s="7"/>
      <c r="Y372" s="7"/>
      <c r="Z372" s="7"/>
    </row>
    <row r="373" spans="1:26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20"/>
      <c r="J373" s="20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42"/>
      <c r="X373" s="7"/>
      <c r="Y373" s="7"/>
      <c r="Z373" s="7"/>
    </row>
    <row r="374" spans="1:26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20"/>
      <c r="J374" s="20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42"/>
      <c r="X374" s="7"/>
      <c r="Y374" s="7"/>
      <c r="Z374" s="7"/>
    </row>
    <row r="375" spans="1:26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20"/>
      <c r="J375" s="20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42"/>
      <c r="X375" s="7"/>
      <c r="Y375" s="7"/>
      <c r="Z375" s="7"/>
    </row>
    <row r="376" spans="1:26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20"/>
      <c r="J376" s="20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42"/>
      <c r="X376" s="7"/>
      <c r="Y376" s="7"/>
      <c r="Z376" s="7"/>
    </row>
    <row r="377" spans="1:26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20"/>
      <c r="J377" s="20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42"/>
      <c r="X377" s="7"/>
      <c r="Y377" s="7"/>
      <c r="Z377" s="7"/>
    </row>
    <row r="378" spans="1:26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20"/>
      <c r="J378" s="20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42"/>
      <c r="X378" s="7"/>
      <c r="Y378" s="7"/>
      <c r="Z378" s="7"/>
    </row>
    <row r="379" spans="1:26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20"/>
      <c r="J379" s="20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42"/>
      <c r="X379" s="7"/>
      <c r="Y379" s="7"/>
      <c r="Z379" s="7"/>
    </row>
    <row r="380" spans="1:26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20"/>
      <c r="J380" s="20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42"/>
      <c r="X380" s="7"/>
      <c r="Y380" s="7"/>
      <c r="Z380" s="7"/>
    </row>
    <row r="381" spans="1:26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20"/>
      <c r="J381" s="20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42"/>
      <c r="X381" s="7"/>
      <c r="Y381" s="7"/>
      <c r="Z381" s="7"/>
    </row>
    <row r="382" spans="1:26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20"/>
      <c r="J382" s="20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42"/>
      <c r="X382" s="7"/>
      <c r="Y382" s="7"/>
      <c r="Z382" s="7"/>
    </row>
    <row r="383" spans="1:26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20"/>
      <c r="J383" s="20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42"/>
      <c r="X383" s="7"/>
      <c r="Y383" s="7"/>
      <c r="Z383" s="7"/>
    </row>
    <row r="384" spans="1:26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20"/>
      <c r="J384" s="20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42"/>
      <c r="X384" s="7"/>
      <c r="Y384" s="7"/>
      <c r="Z384" s="7"/>
    </row>
    <row r="385" spans="1:26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20"/>
      <c r="J385" s="20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42"/>
      <c r="X385" s="7"/>
      <c r="Y385" s="7"/>
      <c r="Z385" s="7"/>
    </row>
    <row r="386" spans="1:26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20"/>
      <c r="J386" s="20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42"/>
      <c r="X386" s="7"/>
      <c r="Y386" s="7"/>
      <c r="Z386" s="7"/>
    </row>
    <row r="387" spans="1:26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20"/>
      <c r="J387" s="20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42"/>
      <c r="X387" s="7"/>
      <c r="Y387" s="7"/>
      <c r="Z387" s="7"/>
    </row>
    <row r="388" spans="1:26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20"/>
      <c r="J388" s="20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42"/>
      <c r="X388" s="7"/>
      <c r="Y388" s="7"/>
      <c r="Z388" s="7"/>
    </row>
    <row r="389" spans="1:26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20"/>
      <c r="J389" s="20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42"/>
      <c r="X389" s="7"/>
      <c r="Y389" s="7"/>
      <c r="Z389" s="7"/>
    </row>
    <row r="390" spans="1:26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20"/>
      <c r="J390" s="20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42"/>
      <c r="X390" s="7"/>
      <c r="Y390" s="7"/>
      <c r="Z390" s="7"/>
    </row>
    <row r="391" spans="1:26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20"/>
      <c r="J391" s="20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42"/>
      <c r="X391" s="7"/>
      <c r="Y391" s="7"/>
      <c r="Z391" s="7"/>
    </row>
    <row r="392" spans="1:26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20"/>
      <c r="J392" s="20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42"/>
      <c r="X392" s="7"/>
      <c r="Y392" s="7"/>
      <c r="Z392" s="7"/>
    </row>
    <row r="393" spans="1:26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20"/>
      <c r="J393" s="20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42"/>
      <c r="X393" s="7"/>
      <c r="Y393" s="7"/>
      <c r="Z393" s="7"/>
    </row>
    <row r="394" spans="1:26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20"/>
      <c r="J394" s="20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42"/>
      <c r="X394" s="7"/>
      <c r="Y394" s="7"/>
      <c r="Z394" s="7"/>
    </row>
    <row r="395" spans="1:26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20"/>
      <c r="J395" s="20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42"/>
      <c r="X395" s="7"/>
      <c r="Y395" s="7"/>
      <c r="Z395" s="7"/>
    </row>
    <row r="396" spans="1:26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20"/>
      <c r="J396" s="20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42"/>
      <c r="X396" s="7"/>
      <c r="Y396" s="7"/>
      <c r="Z396" s="7"/>
    </row>
    <row r="397" spans="1:26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20"/>
      <c r="J397" s="20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42"/>
      <c r="X397" s="7"/>
      <c r="Y397" s="7"/>
      <c r="Z397" s="7"/>
    </row>
    <row r="398" spans="1:26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20"/>
      <c r="J398" s="20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42"/>
      <c r="X398" s="7"/>
      <c r="Y398" s="7"/>
      <c r="Z398" s="7"/>
    </row>
    <row r="399" spans="1:26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20"/>
      <c r="J399" s="20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42"/>
      <c r="X399" s="7"/>
      <c r="Y399" s="7"/>
      <c r="Z399" s="7"/>
    </row>
    <row r="400" spans="1:26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20"/>
      <c r="J400" s="20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42"/>
      <c r="X400" s="7"/>
      <c r="Y400" s="7"/>
      <c r="Z400" s="7"/>
    </row>
    <row r="401" spans="1:26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20"/>
      <c r="J401" s="20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42"/>
      <c r="X401" s="7"/>
      <c r="Y401" s="7"/>
      <c r="Z401" s="7"/>
    </row>
    <row r="402" spans="1:26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20"/>
      <c r="J402" s="20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42"/>
      <c r="X402" s="7"/>
      <c r="Y402" s="7"/>
      <c r="Z402" s="7"/>
    </row>
    <row r="403" spans="1:26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20"/>
      <c r="J403" s="20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42"/>
      <c r="X403" s="7"/>
      <c r="Y403" s="7"/>
      <c r="Z403" s="7"/>
    </row>
    <row r="404" spans="1:26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20"/>
      <c r="J404" s="20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42"/>
      <c r="X404" s="7"/>
      <c r="Y404" s="7"/>
      <c r="Z404" s="7"/>
    </row>
    <row r="405" spans="1:26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20"/>
      <c r="J405" s="20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42"/>
      <c r="X405" s="7"/>
      <c r="Y405" s="7"/>
      <c r="Z405" s="7"/>
    </row>
    <row r="406" spans="1:26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20"/>
      <c r="J406" s="20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42"/>
      <c r="X406" s="7"/>
      <c r="Y406" s="7"/>
      <c r="Z406" s="7"/>
    </row>
    <row r="407" spans="1:26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20"/>
      <c r="J407" s="20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42"/>
      <c r="X407" s="7"/>
      <c r="Y407" s="7"/>
      <c r="Z407" s="7"/>
    </row>
    <row r="408" spans="1:26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20"/>
      <c r="J408" s="20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42"/>
      <c r="X408" s="7"/>
      <c r="Y408" s="7"/>
      <c r="Z408" s="7"/>
    </row>
    <row r="409" spans="1:26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20"/>
      <c r="J409" s="20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42"/>
      <c r="X409" s="7"/>
      <c r="Y409" s="7"/>
      <c r="Z409" s="7"/>
    </row>
    <row r="410" spans="1:26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20"/>
      <c r="J410" s="20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42"/>
      <c r="X410" s="7"/>
      <c r="Y410" s="7"/>
      <c r="Z410" s="7"/>
    </row>
    <row r="411" spans="1:26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20"/>
      <c r="J411" s="20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42"/>
      <c r="X411" s="7"/>
      <c r="Y411" s="7"/>
      <c r="Z411" s="7"/>
    </row>
    <row r="412" spans="1:26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20"/>
      <c r="J412" s="20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42"/>
      <c r="X412" s="7"/>
      <c r="Y412" s="7"/>
      <c r="Z412" s="7"/>
    </row>
    <row r="413" spans="1:26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20"/>
      <c r="J413" s="20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42"/>
      <c r="X413" s="7"/>
      <c r="Y413" s="7"/>
      <c r="Z413" s="7"/>
    </row>
    <row r="414" spans="1:26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20"/>
      <c r="J414" s="20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42"/>
      <c r="X414" s="7"/>
      <c r="Y414" s="7"/>
      <c r="Z414" s="7"/>
    </row>
    <row r="415" spans="1:26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20"/>
      <c r="J415" s="20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42"/>
      <c r="X415" s="7"/>
      <c r="Y415" s="7"/>
      <c r="Z415" s="7"/>
    </row>
    <row r="416" spans="1:26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20"/>
      <c r="J416" s="20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42"/>
      <c r="X416" s="7"/>
      <c r="Y416" s="7"/>
      <c r="Z416" s="7"/>
    </row>
    <row r="417" spans="1:26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20"/>
      <c r="J417" s="20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42"/>
      <c r="X417" s="7"/>
      <c r="Y417" s="7"/>
      <c r="Z417" s="7"/>
    </row>
    <row r="418" spans="1:26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20"/>
      <c r="J418" s="20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42"/>
      <c r="X418" s="7"/>
      <c r="Y418" s="7"/>
      <c r="Z418" s="7"/>
    </row>
    <row r="419" spans="1:26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20"/>
      <c r="J419" s="20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42"/>
      <c r="X419" s="7"/>
      <c r="Y419" s="7"/>
      <c r="Z419" s="7"/>
    </row>
    <row r="420" spans="1:26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20"/>
      <c r="J420" s="20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42"/>
      <c r="X420" s="7"/>
      <c r="Y420" s="7"/>
      <c r="Z420" s="7"/>
    </row>
    <row r="421" spans="1:26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20"/>
      <c r="J421" s="20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42"/>
      <c r="X421" s="7"/>
      <c r="Y421" s="7"/>
      <c r="Z421" s="7"/>
    </row>
    <row r="422" spans="1:26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20"/>
      <c r="J422" s="20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42"/>
      <c r="X422" s="7"/>
      <c r="Y422" s="7"/>
      <c r="Z422" s="7"/>
    </row>
    <row r="423" spans="1:26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20"/>
      <c r="J423" s="20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42"/>
      <c r="X423" s="7"/>
      <c r="Y423" s="7"/>
      <c r="Z423" s="7"/>
    </row>
    <row r="424" spans="1:26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20"/>
      <c r="J424" s="20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42"/>
      <c r="X424" s="7"/>
      <c r="Y424" s="7"/>
      <c r="Z424" s="7"/>
    </row>
    <row r="425" spans="1:26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20"/>
      <c r="J425" s="20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42"/>
      <c r="X425" s="7"/>
      <c r="Y425" s="7"/>
      <c r="Z425" s="7"/>
    </row>
    <row r="426" spans="1:26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20"/>
      <c r="J426" s="20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42"/>
      <c r="X426" s="7"/>
      <c r="Y426" s="7"/>
      <c r="Z426" s="7"/>
    </row>
    <row r="427" spans="1:26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20"/>
      <c r="J427" s="20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42"/>
      <c r="X427" s="7"/>
      <c r="Y427" s="7"/>
      <c r="Z427" s="7"/>
    </row>
    <row r="428" spans="1:26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20"/>
      <c r="J428" s="20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42"/>
      <c r="X428" s="7"/>
      <c r="Y428" s="7"/>
      <c r="Z428" s="7"/>
    </row>
    <row r="429" spans="1:26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20"/>
      <c r="J429" s="20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42"/>
      <c r="X429" s="7"/>
      <c r="Y429" s="7"/>
      <c r="Z429" s="7"/>
    </row>
    <row r="430" spans="1:26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20"/>
      <c r="J430" s="20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42"/>
      <c r="X430" s="7"/>
      <c r="Y430" s="7"/>
      <c r="Z430" s="7"/>
    </row>
    <row r="431" spans="1:26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20"/>
      <c r="J431" s="20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42"/>
      <c r="X431" s="7"/>
      <c r="Y431" s="7"/>
      <c r="Z431" s="7"/>
    </row>
    <row r="432" spans="1:26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20"/>
      <c r="J432" s="20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42"/>
      <c r="X432" s="7"/>
      <c r="Y432" s="7"/>
      <c r="Z432" s="7"/>
    </row>
    <row r="433" spans="1:26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20"/>
      <c r="J433" s="20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42"/>
      <c r="X433" s="7"/>
      <c r="Y433" s="7"/>
      <c r="Z433" s="7"/>
    </row>
    <row r="434" spans="1:26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20"/>
      <c r="J434" s="20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42"/>
      <c r="X434" s="7"/>
      <c r="Y434" s="7"/>
      <c r="Z434" s="7"/>
    </row>
    <row r="435" spans="1:26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20"/>
      <c r="J435" s="20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42"/>
      <c r="X435" s="7"/>
      <c r="Y435" s="7"/>
      <c r="Z435" s="7"/>
    </row>
    <row r="436" spans="1:26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20"/>
      <c r="J436" s="20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42"/>
      <c r="X436" s="7"/>
      <c r="Y436" s="7"/>
      <c r="Z436" s="7"/>
    </row>
    <row r="437" spans="1:26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20"/>
      <c r="J437" s="20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42"/>
      <c r="X437" s="7"/>
      <c r="Y437" s="7"/>
      <c r="Z437" s="7"/>
    </row>
    <row r="438" spans="1:26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20"/>
      <c r="J438" s="20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42"/>
      <c r="X438" s="7"/>
      <c r="Y438" s="7"/>
      <c r="Z438" s="7"/>
    </row>
    <row r="439" spans="1:26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20"/>
      <c r="J439" s="20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42"/>
      <c r="X439" s="7"/>
      <c r="Y439" s="7"/>
      <c r="Z439" s="7"/>
    </row>
    <row r="440" spans="1:26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20"/>
      <c r="J440" s="20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42"/>
      <c r="X440" s="7"/>
      <c r="Y440" s="7"/>
      <c r="Z440" s="7"/>
    </row>
    <row r="441" spans="1:26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20"/>
      <c r="J441" s="20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42"/>
      <c r="X441" s="7"/>
      <c r="Y441" s="7"/>
      <c r="Z441" s="7"/>
    </row>
    <row r="442" spans="1:26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20"/>
      <c r="J442" s="20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42"/>
      <c r="X442" s="7"/>
      <c r="Y442" s="7"/>
      <c r="Z442" s="7"/>
    </row>
    <row r="443" spans="1:26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20"/>
      <c r="J443" s="20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42"/>
      <c r="X443" s="7"/>
      <c r="Y443" s="7"/>
      <c r="Z443" s="7"/>
    </row>
    <row r="444" spans="1:26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20"/>
      <c r="J444" s="20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42"/>
      <c r="X444" s="7"/>
      <c r="Y444" s="7"/>
      <c r="Z444" s="7"/>
    </row>
    <row r="445" spans="1:26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20"/>
      <c r="J445" s="20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42"/>
      <c r="X445" s="7"/>
      <c r="Y445" s="7"/>
      <c r="Z445" s="7"/>
    </row>
    <row r="446" spans="1:26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20"/>
      <c r="J446" s="20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42"/>
      <c r="X446" s="7"/>
      <c r="Y446" s="7"/>
      <c r="Z446" s="7"/>
    </row>
    <row r="447" spans="1:26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20"/>
      <c r="J447" s="20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42"/>
      <c r="X447" s="7"/>
      <c r="Y447" s="7"/>
      <c r="Z447" s="7"/>
    </row>
    <row r="448" spans="1:26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20"/>
      <c r="J448" s="20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42"/>
      <c r="X448" s="7"/>
      <c r="Y448" s="7"/>
      <c r="Z448" s="7"/>
    </row>
    <row r="449" spans="1:26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20"/>
      <c r="J449" s="20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42"/>
      <c r="X449" s="7"/>
      <c r="Y449" s="7"/>
      <c r="Z449" s="7"/>
    </row>
    <row r="450" spans="1:26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20"/>
      <c r="J450" s="20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42"/>
      <c r="X450" s="7"/>
      <c r="Y450" s="7"/>
      <c r="Z450" s="7"/>
    </row>
    <row r="451" spans="1:26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20"/>
      <c r="J451" s="20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42"/>
      <c r="X451" s="7"/>
      <c r="Y451" s="7"/>
      <c r="Z451" s="7"/>
    </row>
    <row r="452" spans="1:26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20"/>
      <c r="J452" s="20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42"/>
      <c r="X452" s="7"/>
      <c r="Y452" s="7"/>
      <c r="Z452" s="7"/>
    </row>
    <row r="453" spans="1:26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20"/>
      <c r="J453" s="20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42"/>
      <c r="X453" s="7"/>
      <c r="Y453" s="7"/>
      <c r="Z453" s="7"/>
    </row>
    <row r="454" spans="1:26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20"/>
      <c r="J454" s="20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42"/>
      <c r="X454" s="7"/>
      <c r="Y454" s="7"/>
      <c r="Z454" s="7"/>
    </row>
    <row r="455" spans="1:26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20"/>
      <c r="J455" s="20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42"/>
      <c r="X455" s="7"/>
      <c r="Y455" s="7"/>
      <c r="Z455" s="7"/>
    </row>
    <row r="456" spans="1:26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20"/>
      <c r="J456" s="20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42"/>
      <c r="X456" s="7"/>
      <c r="Y456" s="7"/>
      <c r="Z456" s="7"/>
    </row>
    <row r="457" spans="1:26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20"/>
      <c r="J457" s="20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42"/>
      <c r="X457" s="7"/>
      <c r="Y457" s="7"/>
      <c r="Z457" s="7"/>
    </row>
    <row r="458" spans="1:26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20"/>
      <c r="J458" s="20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42"/>
      <c r="X458" s="7"/>
      <c r="Y458" s="7"/>
      <c r="Z458" s="7"/>
    </row>
    <row r="459" spans="1:26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20"/>
      <c r="J459" s="20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42"/>
      <c r="X459" s="7"/>
      <c r="Y459" s="7"/>
      <c r="Z459" s="7"/>
    </row>
    <row r="460" spans="1:26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20"/>
      <c r="J460" s="20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42"/>
      <c r="X460" s="7"/>
      <c r="Y460" s="7"/>
      <c r="Z460" s="7"/>
    </row>
    <row r="461" spans="1:26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20"/>
      <c r="J461" s="20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42"/>
      <c r="X461" s="7"/>
      <c r="Y461" s="7"/>
      <c r="Z461" s="7"/>
    </row>
    <row r="462" spans="1:26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20"/>
      <c r="J462" s="20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42"/>
      <c r="X462" s="7"/>
      <c r="Y462" s="7"/>
      <c r="Z462" s="7"/>
    </row>
    <row r="463" spans="1:26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20"/>
      <c r="J463" s="20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42"/>
      <c r="X463" s="7"/>
      <c r="Y463" s="7"/>
      <c r="Z463" s="7"/>
    </row>
    <row r="464" spans="1:26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20"/>
      <c r="J464" s="20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42"/>
      <c r="X464" s="7"/>
      <c r="Y464" s="7"/>
      <c r="Z464" s="7"/>
    </row>
    <row r="465" spans="1:26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20"/>
      <c r="J465" s="20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42"/>
      <c r="X465" s="7"/>
      <c r="Y465" s="7"/>
      <c r="Z465" s="7"/>
    </row>
    <row r="466" spans="1:26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20"/>
      <c r="J466" s="20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42"/>
      <c r="X466" s="7"/>
      <c r="Y466" s="7"/>
      <c r="Z466" s="7"/>
    </row>
    <row r="467" spans="1:26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20"/>
      <c r="J467" s="20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42"/>
      <c r="X467" s="7"/>
      <c r="Y467" s="7"/>
      <c r="Z467" s="7"/>
    </row>
    <row r="468" spans="1:26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20"/>
      <c r="J468" s="20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42"/>
      <c r="X468" s="7"/>
      <c r="Y468" s="7"/>
      <c r="Z468" s="7"/>
    </row>
    <row r="469" spans="1:26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20"/>
      <c r="J469" s="20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42"/>
      <c r="X469" s="7"/>
      <c r="Y469" s="7"/>
      <c r="Z469" s="7"/>
    </row>
    <row r="470" spans="1:26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20"/>
      <c r="J470" s="20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42"/>
      <c r="X470" s="7"/>
      <c r="Y470" s="7"/>
      <c r="Z470" s="7"/>
    </row>
    <row r="471" spans="1:26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20"/>
      <c r="J471" s="20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42"/>
      <c r="X471" s="7"/>
      <c r="Y471" s="7"/>
      <c r="Z471" s="7"/>
    </row>
    <row r="472" spans="1:26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20"/>
      <c r="J472" s="20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42"/>
      <c r="X472" s="7"/>
      <c r="Y472" s="7"/>
      <c r="Z472" s="7"/>
    </row>
    <row r="473" spans="1:26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20"/>
      <c r="J473" s="20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42"/>
      <c r="X473" s="7"/>
      <c r="Y473" s="7"/>
      <c r="Z473" s="7"/>
    </row>
    <row r="474" spans="1:26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20"/>
      <c r="J474" s="20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42"/>
      <c r="X474" s="7"/>
      <c r="Y474" s="7"/>
      <c r="Z474" s="7"/>
    </row>
    <row r="475" spans="1:26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20"/>
      <c r="J475" s="20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42"/>
      <c r="X475" s="7"/>
      <c r="Y475" s="7"/>
      <c r="Z475" s="7"/>
    </row>
    <row r="476" spans="1:26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20"/>
      <c r="J476" s="20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42"/>
      <c r="X476" s="7"/>
      <c r="Y476" s="7"/>
      <c r="Z476" s="7"/>
    </row>
    <row r="477" spans="1:26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20"/>
      <c r="J477" s="20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42"/>
      <c r="X477" s="7"/>
      <c r="Y477" s="7"/>
      <c r="Z477" s="7"/>
    </row>
    <row r="478" spans="1:26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20"/>
      <c r="J478" s="20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42"/>
      <c r="X478" s="7"/>
      <c r="Y478" s="7"/>
      <c r="Z478" s="7"/>
    </row>
    <row r="479" spans="1:26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20"/>
      <c r="J479" s="20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42"/>
      <c r="X479" s="7"/>
      <c r="Y479" s="7"/>
      <c r="Z479" s="7"/>
    </row>
    <row r="480" spans="1:26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20"/>
      <c r="J480" s="20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42"/>
      <c r="X480" s="7"/>
      <c r="Y480" s="7"/>
      <c r="Z480" s="7"/>
    </row>
    <row r="481" spans="1:26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20"/>
      <c r="J481" s="20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42"/>
      <c r="X481" s="7"/>
      <c r="Y481" s="7"/>
      <c r="Z481" s="7"/>
    </row>
    <row r="482" spans="1:26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20"/>
      <c r="J482" s="20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42"/>
      <c r="X482" s="7"/>
      <c r="Y482" s="7"/>
      <c r="Z482" s="7"/>
    </row>
    <row r="483" spans="1:26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20"/>
      <c r="J483" s="20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42"/>
      <c r="X483" s="7"/>
      <c r="Y483" s="7"/>
      <c r="Z483" s="7"/>
    </row>
    <row r="484" spans="1:26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20"/>
      <c r="J484" s="20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42"/>
      <c r="X484" s="7"/>
      <c r="Y484" s="7"/>
      <c r="Z484" s="7"/>
    </row>
    <row r="485" spans="1:26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20"/>
      <c r="J485" s="20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42"/>
      <c r="X485" s="7"/>
      <c r="Y485" s="7"/>
      <c r="Z485" s="7"/>
    </row>
    <row r="486" spans="1:26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20"/>
      <c r="J486" s="20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42"/>
      <c r="X486" s="7"/>
      <c r="Y486" s="7"/>
      <c r="Z486" s="7"/>
    </row>
    <row r="487" spans="1:26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20"/>
      <c r="J487" s="20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42"/>
      <c r="X487" s="7"/>
      <c r="Y487" s="7"/>
      <c r="Z487" s="7"/>
    </row>
    <row r="488" spans="1:26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20"/>
      <c r="J488" s="20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42"/>
      <c r="X488" s="7"/>
      <c r="Y488" s="7"/>
      <c r="Z488" s="7"/>
    </row>
    <row r="489" spans="1:26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20"/>
      <c r="J489" s="20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42"/>
      <c r="X489" s="7"/>
      <c r="Y489" s="7"/>
      <c r="Z489" s="7"/>
    </row>
    <row r="490" spans="1:26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20"/>
      <c r="J490" s="20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42"/>
      <c r="X490" s="7"/>
      <c r="Y490" s="7"/>
      <c r="Z490" s="7"/>
    </row>
    <row r="491" spans="1:26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20"/>
      <c r="J491" s="20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42"/>
      <c r="X491" s="7"/>
      <c r="Y491" s="7"/>
      <c r="Z491" s="7"/>
    </row>
    <row r="492" spans="1:26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20"/>
      <c r="J492" s="20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42"/>
      <c r="X492" s="7"/>
      <c r="Y492" s="7"/>
      <c r="Z492" s="7"/>
    </row>
    <row r="493" spans="1:26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20"/>
      <c r="J493" s="20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42"/>
      <c r="X493" s="7"/>
      <c r="Y493" s="7"/>
      <c r="Z493" s="7"/>
    </row>
    <row r="494" spans="1:26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20"/>
      <c r="J494" s="20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42"/>
      <c r="X494" s="7"/>
      <c r="Y494" s="7"/>
      <c r="Z494" s="7"/>
    </row>
    <row r="495" spans="1:26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20"/>
      <c r="J495" s="20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42"/>
      <c r="X495" s="7"/>
      <c r="Y495" s="7"/>
      <c r="Z495" s="7"/>
    </row>
    <row r="496" spans="1:26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20"/>
      <c r="J496" s="20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42"/>
      <c r="X496" s="7"/>
      <c r="Y496" s="7"/>
      <c r="Z496" s="7"/>
    </row>
    <row r="497" spans="1:26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20"/>
      <c r="J497" s="20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42"/>
      <c r="X497" s="7"/>
      <c r="Y497" s="7"/>
      <c r="Z497" s="7"/>
    </row>
    <row r="498" spans="1:26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20"/>
      <c r="J498" s="20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42"/>
      <c r="X498" s="7"/>
      <c r="Y498" s="7"/>
      <c r="Z498" s="7"/>
    </row>
    <row r="499" spans="1:26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20"/>
      <c r="J499" s="20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42"/>
      <c r="X499" s="7"/>
      <c r="Y499" s="7"/>
      <c r="Z499" s="7"/>
    </row>
    <row r="500" spans="1:26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20"/>
      <c r="J500" s="20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42"/>
      <c r="X500" s="7"/>
      <c r="Y500" s="7"/>
      <c r="Z500" s="7"/>
    </row>
    <row r="501" spans="1:26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20"/>
      <c r="J501" s="20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42"/>
      <c r="X501" s="7"/>
      <c r="Y501" s="7"/>
      <c r="Z501" s="7"/>
    </row>
    <row r="502" spans="1:26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20"/>
      <c r="J502" s="20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42"/>
      <c r="X502" s="7"/>
      <c r="Y502" s="7"/>
      <c r="Z502" s="7"/>
    </row>
    <row r="503" spans="1:26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20"/>
      <c r="J503" s="20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42"/>
      <c r="X503" s="7"/>
      <c r="Y503" s="7"/>
      <c r="Z503" s="7"/>
    </row>
    <row r="504" spans="1:26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20"/>
      <c r="J504" s="20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42"/>
      <c r="X504" s="7"/>
      <c r="Y504" s="7"/>
      <c r="Z504" s="7"/>
    </row>
    <row r="505" spans="1:26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20"/>
      <c r="J505" s="20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42"/>
      <c r="X505" s="7"/>
      <c r="Y505" s="7"/>
      <c r="Z505" s="7"/>
    </row>
    <row r="506" spans="1:26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20"/>
      <c r="J506" s="20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42"/>
      <c r="X506" s="7"/>
      <c r="Y506" s="7"/>
      <c r="Z506" s="7"/>
    </row>
    <row r="507" spans="1:26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20"/>
      <c r="J507" s="20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42"/>
      <c r="X507" s="7"/>
      <c r="Y507" s="7"/>
      <c r="Z507" s="7"/>
    </row>
    <row r="508" spans="1:26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20"/>
      <c r="J508" s="20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42"/>
      <c r="X508" s="7"/>
      <c r="Y508" s="7"/>
      <c r="Z508" s="7"/>
    </row>
    <row r="509" spans="1:26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20"/>
      <c r="J509" s="20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42"/>
      <c r="X509" s="7"/>
      <c r="Y509" s="7"/>
      <c r="Z509" s="7"/>
    </row>
    <row r="510" spans="1:26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20"/>
      <c r="J510" s="20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42"/>
      <c r="X510" s="7"/>
      <c r="Y510" s="7"/>
      <c r="Z510" s="7"/>
    </row>
    <row r="511" spans="1:26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20"/>
      <c r="J511" s="20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42"/>
      <c r="X511" s="7"/>
      <c r="Y511" s="7"/>
      <c r="Z511" s="7"/>
    </row>
    <row r="512" spans="1:26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20"/>
      <c r="J512" s="20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42"/>
      <c r="X512" s="7"/>
      <c r="Y512" s="7"/>
      <c r="Z512" s="7"/>
    </row>
    <row r="513" spans="1:26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20"/>
      <c r="J513" s="20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42"/>
      <c r="X513" s="7"/>
      <c r="Y513" s="7"/>
      <c r="Z513" s="7"/>
    </row>
    <row r="514" spans="1:26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20"/>
      <c r="J514" s="20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42"/>
      <c r="X514" s="7"/>
      <c r="Y514" s="7"/>
      <c r="Z514" s="7"/>
    </row>
    <row r="515" spans="1:26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20"/>
      <c r="J515" s="20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42"/>
      <c r="X515" s="7"/>
      <c r="Y515" s="7"/>
      <c r="Z515" s="7"/>
    </row>
    <row r="516" spans="1:26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20"/>
      <c r="J516" s="20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42"/>
      <c r="X516" s="7"/>
      <c r="Y516" s="7"/>
      <c r="Z516" s="7"/>
    </row>
    <row r="517" spans="1:26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20"/>
      <c r="J517" s="20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42"/>
      <c r="X517" s="7"/>
      <c r="Y517" s="7"/>
      <c r="Z517" s="7"/>
    </row>
    <row r="518" spans="1:26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20"/>
      <c r="J518" s="20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42"/>
      <c r="X518" s="7"/>
      <c r="Y518" s="7"/>
      <c r="Z518" s="7"/>
    </row>
    <row r="519" spans="1:26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20"/>
      <c r="J519" s="20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42"/>
      <c r="X519" s="7"/>
      <c r="Y519" s="7"/>
      <c r="Z519" s="7"/>
    </row>
    <row r="520" spans="1:26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20"/>
      <c r="J520" s="20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42"/>
      <c r="X520" s="7"/>
      <c r="Y520" s="7"/>
      <c r="Z520" s="7"/>
    </row>
    <row r="521" spans="1:26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20"/>
      <c r="J521" s="20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42"/>
      <c r="X521" s="7"/>
      <c r="Y521" s="7"/>
      <c r="Z521" s="7"/>
    </row>
    <row r="522" spans="1:26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20"/>
      <c r="J522" s="20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42"/>
      <c r="X522" s="7"/>
      <c r="Y522" s="7"/>
      <c r="Z522" s="7"/>
    </row>
    <row r="523" spans="1:26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20"/>
      <c r="J523" s="20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42"/>
      <c r="X523" s="7"/>
      <c r="Y523" s="7"/>
      <c r="Z523" s="7"/>
    </row>
    <row r="524" spans="1:26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20"/>
      <c r="J524" s="20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42"/>
      <c r="X524" s="7"/>
      <c r="Y524" s="7"/>
      <c r="Z524" s="7"/>
    </row>
    <row r="525" spans="1:26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20"/>
      <c r="J525" s="20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42"/>
      <c r="X525" s="7"/>
      <c r="Y525" s="7"/>
      <c r="Z525" s="7"/>
    </row>
    <row r="526" spans="1:26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20"/>
      <c r="J526" s="20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42"/>
      <c r="X526" s="7"/>
      <c r="Y526" s="7"/>
      <c r="Z526" s="7"/>
    </row>
    <row r="527" spans="1:26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20"/>
      <c r="J527" s="20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42"/>
      <c r="X527" s="7"/>
      <c r="Y527" s="7"/>
      <c r="Z527" s="7"/>
    </row>
    <row r="528" spans="1:26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20"/>
      <c r="J528" s="20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42"/>
      <c r="X528" s="7"/>
      <c r="Y528" s="7"/>
      <c r="Z528" s="7"/>
    </row>
    <row r="529" spans="1:26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20"/>
      <c r="J529" s="20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42"/>
      <c r="X529" s="7"/>
      <c r="Y529" s="7"/>
      <c r="Z529" s="7"/>
    </row>
    <row r="530" spans="1:26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20"/>
      <c r="J530" s="20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42"/>
      <c r="X530" s="7"/>
      <c r="Y530" s="7"/>
      <c r="Z530" s="7"/>
    </row>
    <row r="531" spans="1:26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20"/>
      <c r="J531" s="20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42"/>
      <c r="X531" s="7"/>
      <c r="Y531" s="7"/>
      <c r="Z531" s="7"/>
    </row>
    <row r="532" spans="1:26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20"/>
      <c r="J532" s="20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42"/>
      <c r="X532" s="7"/>
      <c r="Y532" s="7"/>
      <c r="Z532" s="7"/>
    </row>
    <row r="533" spans="1:26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20"/>
      <c r="J533" s="20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42"/>
      <c r="X533" s="7"/>
      <c r="Y533" s="7"/>
      <c r="Z533" s="7"/>
    </row>
    <row r="534" spans="1:26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20"/>
      <c r="J534" s="20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42"/>
      <c r="X534" s="7"/>
      <c r="Y534" s="7"/>
      <c r="Z534" s="7"/>
    </row>
    <row r="535" spans="1:26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20"/>
      <c r="J535" s="20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42"/>
      <c r="X535" s="7"/>
      <c r="Y535" s="7"/>
      <c r="Z535" s="7"/>
    </row>
    <row r="536" spans="1:26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20"/>
      <c r="J536" s="20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42"/>
      <c r="X536" s="7"/>
      <c r="Y536" s="7"/>
      <c r="Z536" s="7"/>
    </row>
    <row r="537" spans="1:26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20"/>
      <c r="J537" s="20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42"/>
      <c r="X537" s="7"/>
      <c r="Y537" s="7"/>
      <c r="Z537" s="7"/>
    </row>
    <row r="538" spans="1:26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20"/>
      <c r="J538" s="20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42"/>
      <c r="X538" s="7"/>
      <c r="Y538" s="7"/>
      <c r="Z538" s="7"/>
    </row>
    <row r="539" spans="1:26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20"/>
      <c r="J539" s="20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42"/>
      <c r="X539" s="7"/>
      <c r="Y539" s="7"/>
      <c r="Z539" s="7"/>
    </row>
    <row r="540" spans="1:26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20"/>
      <c r="J540" s="20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42"/>
      <c r="X540" s="7"/>
      <c r="Y540" s="7"/>
      <c r="Z540" s="7"/>
    </row>
    <row r="541" spans="1:26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20"/>
      <c r="J541" s="20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42"/>
      <c r="X541" s="7"/>
      <c r="Y541" s="7"/>
      <c r="Z541" s="7"/>
    </row>
    <row r="542" spans="1:26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20"/>
      <c r="J542" s="20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42"/>
      <c r="X542" s="7"/>
      <c r="Y542" s="7"/>
      <c r="Z542" s="7"/>
    </row>
    <row r="543" spans="1:26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20"/>
      <c r="J543" s="20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42"/>
      <c r="X543" s="7"/>
      <c r="Y543" s="7"/>
      <c r="Z543" s="7"/>
    </row>
    <row r="544" spans="1:26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20"/>
      <c r="J544" s="20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42"/>
      <c r="X544" s="7"/>
      <c r="Y544" s="7"/>
      <c r="Z544" s="7"/>
    </row>
    <row r="545" spans="1:26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20"/>
      <c r="J545" s="20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42"/>
      <c r="X545" s="7"/>
      <c r="Y545" s="7"/>
      <c r="Z545" s="7"/>
    </row>
    <row r="546" spans="1:26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20"/>
      <c r="J546" s="20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42"/>
      <c r="X546" s="7"/>
      <c r="Y546" s="7"/>
      <c r="Z546" s="7"/>
    </row>
    <row r="547" spans="1:26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20"/>
      <c r="J547" s="20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42"/>
      <c r="X547" s="7"/>
      <c r="Y547" s="7"/>
      <c r="Z547" s="7"/>
    </row>
    <row r="548" spans="1:26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20"/>
      <c r="J548" s="20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42"/>
      <c r="X548" s="7"/>
      <c r="Y548" s="7"/>
      <c r="Z548" s="7"/>
    </row>
    <row r="549" spans="1:26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20"/>
      <c r="J549" s="20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42"/>
      <c r="X549" s="7"/>
      <c r="Y549" s="7"/>
      <c r="Z549" s="7"/>
    </row>
    <row r="550" spans="1:26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20"/>
      <c r="J550" s="20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42"/>
      <c r="X550" s="7"/>
      <c r="Y550" s="7"/>
      <c r="Z550" s="7"/>
    </row>
    <row r="551" spans="1:26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20"/>
      <c r="J551" s="20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42"/>
      <c r="X551" s="7"/>
      <c r="Y551" s="7"/>
      <c r="Z551" s="7"/>
    </row>
    <row r="552" spans="1:26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20"/>
      <c r="J552" s="20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42"/>
      <c r="X552" s="7"/>
      <c r="Y552" s="7"/>
      <c r="Z552" s="7"/>
    </row>
    <row r="553" spans="1:26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20"/>
      <c r="J553" s="20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42"/>
      <c r="X553" s="7"/>
      <c r="Y553" s="7"/>
      <c r="Z553" s="7"/>
    </row>
    <row r="554" spans="1:26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20"/>
      <c r="J554" s="20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42"/>
      <c r="X554" s="7"/>
      <c r="Y554" s="7"/>
      <c r="Z554" s="7"/>
    </row>
    <row r="555" spans="1:26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20"/>
      <c r="J555" s="20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42"/>
      <c r="X555" s="7"/>
      <c r="Y555" s="7"/>
      <c r="Z555" s="7"/>
    </row>
    <row r="556" spans="1:26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20"/>
      <c r="J556" s="20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42"/>
      <c r="X556" s="7"/>
      <c r="Y556" s="7"/>
      <c r="Z556" s="7"/>
    </row>
    <row r="557" spans="1:26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20"/>
      <c r="J557" s="20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42"/>
      <c r="X557" s="7"/>
      <c r="Y557" s="7"/>
      <c r="Z557" s="7"/>
    </row>
    <row r="558" spans="1:26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20"/>
      <c r="J558" s="20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42"/>
      <c r="X558" s="7"/>
      <c r="Y558" s="7"/>
      <c r="Z558" s="7"/>
    </row>
    <row r="559" spans="1:26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20"/>
      <c r="J559" s="20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42"/>
      <c r="X559" s="7"/>
      <c r="Y559" s="7"/>
      <c r="Z559" s="7"/>
    </row>
    <row r="560" spans="1:26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20"/>
      <c r="J560" s="20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42"/>
      <c r="X560" s="7"/>
      <c r="Y560" s="7"/>
      <c r="Z560" s="7"/>
    </row>
    <row r="561" spans="1:26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20"/>
      <c r="J561" s="20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42"/>
      <c r="X561" s="7"/>
      <c r="Y561" s="7"/>
      <c r="Z561" s="7"/>
    </row>
    <row r="562" spans="1:26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20"/>
      <c r="J562" s="20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42"/>
      <c r="X562" s="7"/>
      <c r="Y562" s="7"/>
      <c r="Z562" s="7"/>
    </row>
    <row r="563" spans="1:26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20"/>
      <c r="J563" s="20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42"/>
      <c r="X563" s="7"/>
      <c r="Y563" s="7"/>
      <c r="Z563" s="7"/>
    </row>
    <row r="564" spans="1:26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20"/>
      <c r="J564" s="20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42"/>
      <c r="X564" s="7"/>
      <c r="Y564" s="7"/>
      <c r="Z564" s="7"/>
    </row>
    <row r="565" spans="1:26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20"/>
      <c r="J565" s="20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42"/>
      <c r="X565" s="7"/>
      <c r="Y565" s="7"/>
      <c r="Z565" s="7"/>
    </row>
    <row r="566" spans="1:26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20"/>
      <c r="J566" s="20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42"/>
      <c r="X566" s="7"/>
      <c r="Y566" s="7"/>
      <c r="Z566" s="7"/>
    </row>
    <row r="567" spans="1:26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20"/>
      <c r="J567" s="20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42"/>
      <c r="X567" s="7"/>
      <c r="Y567" s="7"/>
      <c r="Z567" s="7"/>
    </row>
    <row r="568" spans="1:26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20"/>
      <c r="J568" s="20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42"/>
      <c r="X568" s="7"/>
      <c r="Y568" s="7"/>
      <c r="Z568" s="7"/>
    </row>
    <row r="569" spans="1:26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20"/>
      <c r="J569" s="20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42"/>
      <c r="X569" s="7"/>
      <c r="Y569" s="7"/>
      <c r="Z569" s="7"/>
    </row>
    <row r="570" spans="1:26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20"/>
      <c r="J570" s="20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42"/>
      <c r="X570" s="7"/>
      <c r="Y570" s="7"/>
      <c r="Z570" s="7"/>
    </row>
    <row r="571" spans="1:26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20"/>
      <c r="J571" s="20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42"/>
      <c r="X571" s="7"/>
      <c r="Y571" s="7"/>
      <c r="Z571" s="7"/>
    </row>
    <row r="572" spans="1:26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20"/>
      <c r="J572" s="20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42"/>
      <c r="X572" s="7"/>
      <c r="Y572" s="7"/>
      <c r="Z572" s="7"/>
    </row>
    <row r="573" spans="1:26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20"/>
      <c r="J573" s="20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42"/>
      <c r="X573" s="7"/>
      <c r="Y573" s="7"/>
      <c r="Z573" s="7"/>
    </row>
    <row r="574" spans="1:26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20"/>
      <c r="J574" s="20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42"/>
      <c r="X574" s="7"/>
      <c r="Y574" s="7"/>
      <c r="Z574" s="7"/>
    </row>
    <row r="575" spans="1:26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20"/>
      <c r="J575" s="20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42"/>
      <c r="X575" s="7"/>
      <c r="Y575" s="7"/>
      <c r="Z575" s="7"/>
    </row>
    <row r="576" spans="1:26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20"/>
      <c r="J576" s="20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42"/>
      <c r="X576" s="7"/>
      <c r="Y576" s="7"/>
      <c r="Z576" s="7"/>
    </row>
    <row r="577" spans="1:26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20"/>
      <c r="J577" s="20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42"/>
      <c r="X577" s="7"/>
      <c r="Y577" s="7"/>
      <c r="Z577" s="7"/>
    </row>
    <row r="578" spans="1:26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20"/>
      <c r="J578" s="20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42"/>
      <c r="X578" s="7"/>
      <c r="Y578" s="7"/>
      <c r="Z578" s="7"/>
    </row>
    <row r="579" spans="1:26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20"/>
      <c r="J579" s="20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42"/>
      <c r="X579" s="7"/>
      <c r="Y579" s="7"/>
      <c r="Z579" s="7"/>
    </row>
    <row r="580" spans="1:26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20"/>
      <c r="J580" s="20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42"/>
      <c r="X580" s="7"/>
      <c r="Y580" s="7"/>
      <c r="Z580" s="7"/>
    </row>
    <row r="581" spans="1:26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20"/>
      <c r="J581" s="20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42"/>
      <c r="X581" s="7"/>
      <c r="Y581" s="7"/>
      <c r="Z581" s="7"/>
    </row>
    <row r="582" spans="1:26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20"/>
      <c r="J582" s="20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42"/>
      <c r="X582" s="7"/>
      <c r="Y582" s="7"/>
      <c r="Z582" s="7"/>
    </row>
    <row r="583" spans="1:26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20"/>
      <c r="J583" s="20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42"/>
      <c r="X583" s="7"/>
      <c r="Y583" s="7"/>
      <c r="Z583" s="7"/>
    </row>
    <row r="584" spans="1:26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20"/>
      <c r="J584" s="20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42"/>
      <c r="X584" s="7"/>
      <c r="Y584" s="7"/>
      <c r="Z584" s="7"/>
    </row>
    <row r="585" spans="1:26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20"/>
      <c r="J585" s="20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42"/>
      <c r="X585" s="7"/>
      <c r="Y585" s="7"/>
      <c r="Z585" s="7"/>
    </row>
    <row r="586" spans="1:26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20"/>
      <c r="J586" s="20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42"/>
      <c r="X586" s="7"/>
      <c r="Y586" s="7"/>
      <c r="Z586" s="7"/>
    </row>
    <row r="587" spans="1:26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20"/>
      <c r="J587" s="20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42"/>
      <c r="X587" s="7"/>
      <c r="Y587" s="7"/>
      <c r="Z587" s="7"/>
    </row>
    <row r="588" spans="1:26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20"/>
      <c r="J588" s="20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42"/>
      <c r="X588" s="7"/>
      <c r="Y588" s="7"/>
      <c r="Z588" s="7"/>
    </row>
    <row r="589" spans="1:26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20"/>
      <c r="J589" s="20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42"/>
      <c r="X589" s="7"/>
      <c r="Y589" s="7"/>
      <c r="Z589" s="7"/>
    </row>
    <row r="590" spans="1:26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20"/>
      <c r="J590" s="20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42"/>
      <c r="X590" s="7"/>
      <c r="Y590" s="7"/>
      <c r="Z590" s="7"/>
    </row>
    <row r="591" spans="1:26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20"/>
      <c r="J591" s="20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42"/>
      <c r="X591" s="7"/>
      <c r="Y591" s="7"/>
      <c r="Z591" s="7"/>
    </row>
    <row r="592" spans="1:26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20"/>
      <c r="J592" s="20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42"/>
      <c r="X592" s="7"/>
      <c r="Y592" s="7"/>
      <c r="Z592" s="7"/>
    </row>
    <row r="593" spans="1:26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20"/>
      <c r="J593" s="20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42"/>
      <c r="X593" s="7"/>
      <c r="Y593" s="7"/>
      <c r="Z593" s="7"/>
    </row>
    <row r="594" spans="1:26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20"/>
      <c r="J594" s="20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42"/>
      <c r="X594" s="7"/>
      <c r="Y594" s="7"/>
      <c r="Z594" s="7"/>
    </row>
    <row r="595" spans="1:26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20"/>
      <c r="J595" s="20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42"/>
      <c r="X595" s="7"/>
      <c r="Y595" s="7"/>
      <c r="Z595" s="7"/>
    </row>
    <row r="596" spans="1:26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20"/>
      <c r="J596" s="20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42"/>
      <c r="X596" s="7"/>
      <c r="Y596" s="7"/>
      <c r="Z596" s="7"/>
    </row>
    <row r="597" spans="1:26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20"/>
      <c r="J597" s="20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42"/>
      <c r="X597" s="7"/>
      <c r="Y597" s="7"/>
      <c r="Z597" s="7"/>
    </row>
    <row r="598" spans="1:26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20"/>
      <c r="J598" s="20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42"/>
      <c r="X598" s="7"/>
      <c r="Y598" s="7"/>
      <c r="Z598" s="7"/>
    </row>
    <row r="599" spans="1:26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20"/>
      <c r="J599" s="20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42"/>
      <c r="X599" s="7"/>
      <c r="Y599" s="7"/>
      <c r="Z599" s="7"/>
    </row>
    <row r="600" spans="1:26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20"/>
      <c r="J600" s="20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42"/>
      <c r="X600" s="7"/>
      <c r="Y600" s="7"/>
      <c r="Z600" s="7"/>
    </row>
    <row r="601" spans="1:26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20"/>
      <c r="J601" s="20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42"/>
      <c r="X601" s="7"/>
      <c r="Y601" s="7"/>
      <c r="Z601" s="7"/>
    </row>
    <row r="602" spans="1:26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20"/>
      <c r="J602" s="20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42"/>
      <c r="X602" s="7"/>
      <c r="Y602" s="7"/>
      <c r="Z602" s="7"/>
    </row>
    <row r="603" spans="1:26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20"/>
      <c r="J603" s="20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42"/>
      <c r="X603" s="7"/>
      <c r="Y603" s="7"/>
      <c r="Z603" s="7"/>
    </row>
    <row r="604" spans="1:26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20"/>
      <c r="J604" s="20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42"/>
      <c r="X604" s="7"/>
      <c r="Y604" s="7"/>
      <c r="Z604" s="7"/>
    </row>
    <row r="605" spans="1:26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20"/>
      <c r="J605" s="20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42"/>
      <c r="X605" s="7"/>
      <c r="Y605" s="7"/>
      <c r="Z605" s="7"/>
    </row>
    <row r="606" spans="1:26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20"/>
      <c r="J606" s="20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42"/>
      <c r="X606" s="7"/>
      <c r="Y606" s="7"/>
      <c r="Z606" s="7"/>
    </row>
    <row r="607" spans="1:26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20"/>
      <c r="J607" s="20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42"/>
      <c r="X607" s="7"/>
      <c r="Y607" s="7"/>
      <c r="Z607" s="7"/>
    </row>
    <row r="608" spans="1:26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20"/>
      <c r="J608" s="20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42"/>
      <c r="X608" s="7"/>
      <c r="Y608" s="7"/>
      <c r="Z608" s="7"/>
    </row>
    <row r="609" spans="1:26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20"/>
      <c r="J609" s="20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42"/>
      <c r="X609" s="7"/>
      <c r="Y609" s="7"/>
      <c r="Z609" s="7"/>
    </row>
    <row r="610" spans="1:26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20"/>
      <c r="J610" s="20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42"/>
      <c r="X610" s="7"/>
      <c r="Y610" s="7"/>
      <c r="Z610" s="7"/>
    </row>
    <row r="611" spans="1:26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20"/>
      <c r="J611" s="20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42"/>
      <c r="X611" s="7"/>
      <c r="Y611" s="7"/>
      <c r="Z611" s="7"/>
    </row>
    <row r="612" spans="1:26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20"/>
      <c r="J612" s="20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42"/>
      <c r="X612" s="7"/>
      <c r="Y612" s="7"/>
      <c r="Z612" s="7"/>
    </row>
    <row r="613" spans="1:26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20"/>
      <c r="J613" s="20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42"/>
      <c r="X613" s="7"/>
      <c r="Y613" s="7"/>
      <c r="Z613" s="7"/>
    </row>
    <row r="614" spans="1:26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20"/>
      <c r="J614" s="20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42"/>
      <c r="X614" s="7"/>
      <c r="Y614" s="7"/>
      <c r="Z614" s="7"/>
    </row>
    <row r="615" spans="1:26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20"/>
      <c r="J615" s="20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42"/>
      <c r="X615" s="7"/>
      <c r="Y615" s="7"/>
      <c r="Z615" s="7"/>
    </row>
    <row r="616" spans="1:26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20"/>
      <c r="J616" s="20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42"/>
      <c r="X616" s="7"/>
      <c r="Y616" s="7"/>
      <c r="Z616" s="7"/>
    </row>
    <row r="617" spans="1:26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20"/>
      <c r="J617" s="20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42"/>
      <c r="X617" s="7"/>
      <c r="Y617" s="7"/>
      <c r="Z617" s="7"/>
    </row>
    <row r="618" spans="1:26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20"/>
      <c r="J618" s="20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42"/>
      <c r="X618" s="7"/>
      <c r="Y618" s="7"/>
      <c r="Z618" s="7"/>
    </row>
    <row r="619" spans="1:26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20"/>
      <c r="J619" s="20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42"/>
      <c r="X619" s="7"/>
      <c r="Y619" s="7"/>
      <c r="Z619" s="7"/>
    </row>
    <row r="620" spans="1:26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20"/>
      <c r="J620" s="20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42"/>
      <c r="X620" s="7"/>
      <c r="Y620" s="7"/>
      <c r="Z620" s="7"/>
    </row>
    <row r="621" spans="1:26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20"/>
      <c r="J621" s="20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42"/>
      <c r="X621" s="7"/>
      <c r="Y621" s="7"/>
      <c r="Z621" s="7"/>
    </row>
    <row r="622" spans="1:26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20"/>
      <c r="J622" s="20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42"/>
      <c r="X622" s="7"/>
      <c r="Y622" s="7"/>
      <c r="Z622" s="7"/>
    </row>
    <row r="623" spans="1:26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20"/>
      <c r="J623" s="20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42"/>
      <c r="X623" s="7"/>
      <c r="Y623" s="7"/>
      <c r="Z623" s="7"/>
    </row>
    <row r="624" spans="1:26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20"/>
      <c r="J624" s="20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42"/>
      <c r="X624" s="7"/>
      <c r="Y624" s="7"/>
      <c r="Z624" s="7"/>
    </row>
    <row r="625" spans="1:26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20"/>
      <c r="J625" s="20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42"/>
      <c r="X625" s="7"/>
      <c r="Y625" s="7"/>
      <c r="Z625" s="7"/>
    </row>
    <row r="626" spans="1:26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20"/>
      <c r="J626" s="20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42"/>
      <c r="X626" s="7"/>
      <c r="Y626" s="7"/>
      <c r="Z626" s="7"/>
    </row>
    <row r="627" spans="1:26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20"/>
      <c r="J627" s="20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42"/>
      <c r="X627" s="7"/>
      <c r="Y627" s="7"/>
      <c r="Z627" s="7"/>
    </row>
    <row r="628" spans="1:26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20"/>
      <c r="J628" s="20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42"/>
      <c r="X628" s="7"/>
      <c r="Y628" s="7"/>
      <c r="Z628" s="7"/>
    </row>
    <row r="629" spans="1:26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20"/>
      <c r="J629" s="20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42"/>
      <c r="X629" s="7"/>
      <c r="Y629" s="7"/>
      <c r="Z629" s="7"/>
    </row>
    <row r="630" spans="1:26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20"/>
      <c r="J630" s="20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42"/>
      <c r="X630" s="7"/>
      <c r="Y630" s="7"/>
      <c r="Z630" s="7"/>
    </row>
    <row r="631" spans="1:26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20"/>
      <c r="J631" s="20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42"/>
      <c r="X631" s="7"/>
      <c r="Y631" s="7"/>
      <c r="Z631" s="7"/>
    </row>
    <row r="632" spans="1:26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20"/>
      <c r="J632" s="20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42"/>
      <c r="X632" s="7"/>
      <c r="Y632" s="7"/>
      <c r="Z632" s="7"/>
    </row>
    <row r="633" spans="1:26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20"/>
      <c r="J633" s="20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42"/>
      <c r="X633" s="7"/>
      <c r="Y633" s="7"/>
      <c r="Z633" s="7"/>
    </row>
    <row r="634" spans="1:26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20"/>
      <c r="J634" s="20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42"/>
      <c r="X634" s="7"/>
      <c r="Y634" s="7"/>
      <c r="Z634" s="7"/>
    </row>
    <row r="635" spans="1:26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20"/>
      <c r="J635" s="20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42"/>
      <c r="X635" s="7"/>
      <c r="Y635" s="7"/>
      <c r="Z635" s="7"/>
    </row>
    <row r="636" spans="1:26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20"/>
      <c r="J636" s="20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42"/>
      <c r="X636" s="7"/>
      <c r="Y636" s="7"/>
      <c r="Z636" s="7"/>
    </row>
    <row r="637" spans="1:26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20"/>
      <c r="J637" s="20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42"/>
      <c r="X637" s="7"/>
      <c r="Y637" s="7"/>
      <c r="Z637" s="7"/>
    </row>
    <row r="638" spans="1:26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20"/>
      <c r="J638" s="20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42"/>
      <c r="X638" s="7"/>
      <c r="Y638" s="7"/>
      <c r="Z638" s="7"/>
    </row>
    <row r="639" spans="1:26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20"/>
      <c r="J639" s="20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42"/>
      <c r="X639" s="7"/>
      <c r="Y639" s="7"/>
      <c r="Z639" s="7"/>
    </row>
    <row r="640" spans="1:26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20"/>
      <c r="J640" s="20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42"/>
      <c r="X640" s="7"/>
      <c r="Y640" s="7"/>
      <c r="Z640" s="7"/>
    </row>
    <row r="641" spans="1:26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20"/>
      <c r="J641" s="20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42"/>
      <c r="X641" s="7"/>
      <c r="Y641" s="7"/>
      <c r="Z641" s="7"/>
    </row>
    <row r="642" spans="1:26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20"/>
      <c r="J642" s="20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42"/>
      <c r="X642" s="7"/>
      <c r="Y642" s="7"/>
      <c r="Z642" s="7"/>
    </row>
    <row r="643" spans="1:26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20"/>
      <c r="J643" s="20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42"/>
      <c r="X643" s="7"/>
      <c r="Y643" s="7"/>
      <c r="Z643" s="7"/>
    </row>
    <row r="644" spans="1:26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20"/>
      <c r="J644" s="20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42"/>
      <c r="X644" s="7"/>
      <c r="Y644" s="7"/>
      <c r="Z644" s="7"/>
    </row>
    <row r="645" spans="1:26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20"/>
      <c r="J645" s="20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42"/>
      <c r="X645" s="7"/>
      <c r="Y645" s="7"/>
      <c r="Z645" s="7"/>
    </row>
    <row r="646" spans="1:26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20"/>
      <c r="J646" s="20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42"/>
      <c r="X646" s="7"/>
      <c r="Y646" s="7"/>
      <c r="Z646" s="7"/>
    </row>
    <row r="647" spans="1:26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20"/>
      <c r="J647" s="20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42"/>
      <c r="X647" s="7"/>
      <c r="Y647" s="7"/>
      <c r="Z647" s="7"/>
    </row>
    <row r="648" spans="1:26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20"/>
      <c r="J648" s="20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42"/>
      <c r="X648" s="7"/>
      <c r="Y648" s="7"/>
      <c r="Z648" s="7"/>
    </row>
    <row r="649" spans="1:26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20"/>
      <c r="J649" s="20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42"/>
      <c r="X649" s="7"/>
      <c r="Y649" s="7"/>
      <c r="Z649" s="7"/>
    </row>
    <row r="650" spans="1:26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20"/>
      <c r="J650" s="20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42"/>
      <c r="X650" s="7"/>
      <c r="Y650" s="7"/>
      <c r="Z650" s="7"/>
    </row>
    <row r="651" spans="1:26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20"/>
      <c r="J651" s="20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42"/>
      <c r="X651" s="7"/>
      <c r="Y651" s="7"/>
      <c r="Z651" s="7"/>
    </row>
    <row r="652" spans="1:26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20"/>
      <c r="J652" s="20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42"/>
      <c r="X652" s="7"/>
      <c r="Y652" s="7"/>
      <c r="Z652" s="7"/>
    </row>
    <row r="653" spans="1:26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20"/>
      <c r="J653" s="20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42"/>
      <c r="X653" s="7"/>
      <c r="Y653" s="7"/>
      <c r="Z653" s="7"/>
    </row>
    <row r="654" spans="1:26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20"/>
      <c r="J654" s="20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42"/>
      <c r="X654" s="7"/>
      <c r="Y654" s="7"/>
      <c r="Z654" s="7"/>
    </row>
    <row r="655" spans="1:26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20"/>
      <c r="J655" s="20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42"/>
      <c r="X655" s="7"/>
      <c r="Y655" s="7"/>
      <c r="Z655" s="7"/>
    </row>
    <row r="656" spans="1:26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20"/>
      <c r="J656" s="20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42"/>
      <c r="X656" s="7"/>
      <c r="Y656" s="7"/>
      <c r="Z656" s="7"/>
    </row>
    <row r="657" spans="1:26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20"/>
      <c r="J657" s="20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42"/>
      <c r="X657" s="7"/>
      <c r="Y657" s="7"/>
      <c r="Z657" s="7"/>
    </row>
    <row r="658" spans="1:26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20"/>
      <c r="J658" s="20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42"/>
      <c r="X658" s="7"/>
      <c r="Y658" s="7"/>
      <c r="Z658" s="7"/>
    </row>
    <row r="659" spans="1:26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20"/>
      <c r="J659" s="20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42"/>
      <c r="X659" s="7"/>
      <c r="Y659" s="7"/>
      <c r="Z659" s="7"/>
    </row>
    <row r="660" spans="1:26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20"/>
      <c r="J660" s="20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42"/>
      <c r="X660" s="7"/>
      <c r="Y660" s="7"/>
      <c r="Z660" s="7"/>
    </row>
    <row r="661" spans="1:26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20"/>
      <c r="J661" s="20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42"/>
      <c r="X661" s="7"/>
      <c r="Y661" s="7"/>
      <c r="Z661" s="7"/>
    </row>
    <row r="662" spans="1:26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20"/>
      <c r="J662" s="20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42"/>
      <c r="X662" s="7"/>
      <c r="Y662" s="7"/>
      <c r="Z662" s="7"/>
    </row>
    <row r="663" spans="1:26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20"/>
      <c r="J663" s="20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42"/>
      <c r="X663" s="7"/>
      <c r="Y663" s="7"/>
      <c r="Z663" s="7"/>
    </row>
    <row r="664" spans="1:26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20"/>
      <c r="J664" s="20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42"/>
      <c r="X664" s="7"/>
      <c r="Y664" s="7"/>
      <c r="Z664" s="7"/>
    </row>
    <row r="665" spans="1:26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20"/>
      <c r="J665" s="20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42"/>
      <c r="X665" s="7"/>
      <c r="Y665" s="7"/>
      <c r="Z665" s="7"/>
    </row>
    <row r="666" spans="1:26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20"/>
      <c r="J666" s="20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42"/>
      <c r="X666" s="7"/>
      <c r="Y666" s="7"/>
      <c r="Z666" s="7"/>
    </row>
    <row r="667" spans="1:26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20"/>
      <c r="J667" s="20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42"/>
      <c r="X667" s="7"/>
      <c r="Y667" s="7"/>
      <c r="Z667" s="7"/>
    </row>
    <row r="668" spans="1:26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20"/>
      <c r="J668" s="20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42"/>
      <c r="X668" s="7"/>
      <c r="Y668" s="7"/>
      <c r="Z668" s="7"/>
    </row>
    <row r="669" spans="1:26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20"/>
      <c r="J669" s="20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42"/>
      <c r="X669" s="7"/>
      <c r="Y669" s="7"/>
      <c r="Z669" s="7"/>
    </row>
    <row r="670" spans="1:26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20"/>
      <c r="J670" s="20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42"/>
      <c r="X670" s="7"/>
      <c r="Y670" s="7"/>
      <c r="Z670" s="7"/>
    </row>
    <row r="671" spans="1:26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20"/>
      <c r="J671" s="20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42"/>
      <c r="X671" s="7"/>
      <c r="Y671" s="7"/>
      <c r="Z671" s="7"/>
    </row>
    <row r="672" spans="1:26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20"/>
      <c r="J672" s="20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42"/>
      <c r="X672" s="7"/>
      <c r="Y672" s="7"/>
      <c r="Z672" s="7"/>
    </row>
    <row r="673" spans="1:26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20"/>
      <c r="J673" s="20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42"/>
      <c r="X673" s="7"/>
      <c r="Y673" s="7"/>
      <c r="Z673" s="7"/>
    </row>
    <row r="674" spans="1:26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20"/>
      <c r="J674" s="20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42"/>
      <c r="X674" s="7"/>
      <c r="Y674" s="7"/>
      <c r="Z674" s="7"/>
    </row>
    <row r="675" spans="1:26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20"/>
      <c r="J675" s="20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42"/>
      <c r="X675" s="7"/>
      <c r="Y675" s="7"/>
      <c r="Z675" s="7"/>
    </row>
    <row r="676" spans="1:26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20"/>
      <c r="J676" s="20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42"/>
      <c r="X676" s="7"/>
      <c r="Y676" s="7"/>
      <c r="Z676" s="7"/>
    </row>
    <row r="677" spans="1:26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20"/>
      <c r="J677" s="20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42"/>
      <c r="X677" s="7"/>
      <c r="Y677" s="7"/>
      <c r="Z677" s="7"/>
    </row>
    <row r="678" spans="1:26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20"/>
      <c r="J678" s="20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42"/>
      <c r="X678" s="7"/>
      <c r="Y678" s="7"/>
      <c r="Z678" s="7"/>
    </row>
    <row r="679" spans="1:26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20"/>
      <c r="J679" s="20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42"/>
      <c r="X679" s="7"/>
      <c r="Y679" s="7"/>
      <c r="Z679" s="7"/>
    </row>
    <row r="680" spans="1:26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20"/>
      <c r="J680" s="20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42"/>
      <c r="X680" s="7"/>
      <c r="Y680" s="7"/>
      <c r="Z680" s="7"/>
    </row>
    <row r="681" spans="1:26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20"/>
      <c r="J681" s="20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42"/>
      <c r="X681" s="7"/>
      <c r="Y681" s="7"/>
      <c r="Z681" s="7"/>
    </row>
    <row r="682" spans="1:26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20"/>
      <c r="J682" s="20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42"/>
      <c r="X682" s="7"/>
      <c r="Y682" s="7"/>
      <c r="Z682" s="7"/>
    </row>
    <row r="683" spans="1:26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20"/>
      <c r="J683" s="20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42"/>
      <c r="X683" s="7"/>
      <c r="Y683" s="7"/>
      <c r="Z683" s="7"/>
    </row>
    <row r="684" spans="1:26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20"/>
      <c r="J684" s="20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42"/>
      <c r="X684" s="7"/>
      <c r="Y684" s="7"/>
      <c r="Z684" s="7"/>
    </row>
    <row r="685" spans="1:26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20"/>
      <c r="J685" s="20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42"/>
      <c r="X685" s="7"/>
      <c r="Y685" s="7"/>
      <c r="Z685" s="7"/>
    </row>
    <row r="686" spans="1:26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20"/>
      <c r="J686" s="20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42"/>
      <c r="X686" s="7"/>
      <c r="Y686" s="7"/>
      <c r="Z686" s="7"/>
    </row>
    <row r="687" spans="1:26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20"/>
      <c r="J687" s="20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42"/>
      <c r="X687" s="7"/>
      <c r="Y687" s="7"/>
      <c r="Z687" s="7"/>
    </row>
    <row r="688" spans="1:26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20"/>
      <c r="J688" s="20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42"/>
      <c r="X688" s="7"/>
      <c r="Y688" s="7"/>
      <c r="Z688" s="7"/>
    </row>
    <row r="689" spans="1:26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20"/>
      <c r="J689" s="20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42"/>
      <c r="X689" s="7"/>
      <c r="Y689" s="7"/>
      <c r="Z689" s="7"/>
    </row>
    <row r="690" spans="1:26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20"/>
      <c r="J690" s="20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42"/>
      <c r="X690" s="7"/>
      <c r="Y690" s="7"/>
      <c r="Z690" s="7"/>
    </row>
    <row r="691" spans="1:26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20"/>
      <c r="J691" s="20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42"/>
      <c r="X691" s="7"/>
      <c r="Y691" s="7"/>
      <c r="Z691" s="7"/>
    </row>
    <row r="692" spans="1:26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20"/>
      <c r="J692" s="20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42"/>
      <c r="X692" s="7"/>
      <c r="Y692" s="7"/>
      <c r="Z692" s="7"/>
    </row>
    <row r="693" spans="1:26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20"/>
      <c r="J693" s="20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42"/>
      <c r="X693" s="7"/>
      <c r="Y693" s="7"/>
      <c r="Z693" s="7"/>
    </row>
    <row r="694" spans="1:26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20"/>
      <c r="J694" s="20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42"/>
      <c r="X694" s="7"/>
      <c r="Y694" s="7"/>
      <c r="Z694" s="7"/>
    </row>
    <row r="695" spans="1:26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20"/>
      <c r="J695" s="20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42"/>
      <c r="X695" s="7"/>
      <c r="Y695" s="7"/>
      <c r="Z695" s="7"/>
    </row>
    <row r="696" spans="1:26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20"/>
      <c r="J696" s="20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42"/>
      <c r="X696" s="7"/>
      <c r="Y696" s="7"/>
      <c r="Z696" s="7"/>
    </row>
    <row r="697" spans="1:26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20"/>
      <c r="J697" s="20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42"/>
      <c r="X697" s="7"/>
      <c r="Y697" s="7"/>
      <c r="Z697" s="7"/>
    </row>
    <row r="698" spans="1:26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20"/>
      <c r="J698" s="20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42"/>
      <c r="X698" s="7"/>
      <c r="Y698" s="7"/>
      <c r="Z698" s="7"/>
    </row>
    <row r="699" spans="1:26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20"/>
      <c r="J699" s="20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42"/>
      <c r="X699" s="7"/>
      <c r="Y699" s="7"/>
      <c r="Z699" s="7"/>
    </row>
    <row r="700" spans="1:26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20"/>
      <c r="J700" s="20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42"/>
      <c r="X700" s="7"/>
      <c r="Y700" s="7"/>
      <c r="Z700" s="7"/>
    </row>
    <row r="701" spans="1:26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20"/>
      <c r="J701" s="20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42"/>
      <c r="X701" s="7"/>
      <c r="Y701" s="7"/>
      <c r="Z701" s="7"/>
    </row>
    <row r="702" spans="1:26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20"/>
      <c r="J702" s="20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42"/>
      <c r="X702" s="7"/>
      <c r="Y702" s="7"/>
      <c r="Z702" s="7"/>
    </row>
    <row r="703" spans="1:26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20"/>
      <c r="J703" s="20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42"/>
      <c r="X703" s="7"/>
      <c r="Y703" s="7"/>
      <c r="Z703" s="7"/>
    </row>
    <row r="704" spans="1:26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20"/>
      <c r="J704" s="20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42"/>
      <c r="X704" s="7"/>
      <c r="Y704" s="7"/>
      <c r="Z704" s="7"/>
    </row>
    <row r="705" spans="1:26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20"/>
      <c r="J705" s="20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42"/>
      <c r="X705" s="7"/>
      <c r="Y705" s="7"/>
      <c r="Z705" s="7"/>
    </row>
    <row r="706" spans="1:26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20"/>
      <c r="J706" s="20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42"/>
      <c r="X706" s="7"/>
      <c r="Y706" s="7"/>
      <c r="Z706" s="7"/>
    </row>
    <row r="707" spans="1:26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20"/>
      <c r="J707" s="20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42"/>
      <c r="X707" s="7"/>
      <c r="Y707" s="7"/>
      <c r="Z707" s="7"/>
    </row>
    <row r="708" spans="1:26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20"/>
      <c r="J708" s="20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42"/>
      <c r="X708" s="7"/>
      <c r="Y708" s="7"/>
      <c r="Z708" s="7"/>
    </row>
    <row r="709" spans="1:26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20"/>
      <c r="J709" s="20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42"/>
      <c r="X709" s="7"/>
      <c r="Y709" s="7"/>
      <c r="Z709" s="7"/>
    </row>
    <row r="710" spans="1:26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20"/>
      <c r="J710" s="20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42"/>
      <c r="X710" s="7"/>
      <c r="Y710" s="7"/>
      <c r="Z710" s="7"/>
    </row>
    <row r="711" spans="1:26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20"/>
      <c r="J711" s="20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42"/>
      <c r="X711" s="7"/>
      <c r="Y711" s="7"/>
      <c r="Z711" s="7"/>
    </row>
    <row r="712" spans="1:26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20"/>
      <c r="J712" s="20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42"/>
      <c r="X712" s="7"/>
      <c r="Y712" s="7"/>
      <c r="Z712" s="7"/>
    </row>
    <row r="713" spans="1:26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20"/>
      <c r="J713" s="20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42"/>
      <c r="X713" s="7"/>
      <c r="Y713" s="7"/>
      <c r="Z713" s="7"/>
    </row>
    <row r="714" spans="1:26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20"/>
      <c r="J714" s="20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42"/>
      <c r="X714" s="7"/>
      <c r="Y714" s="7"/>
      <c r="Z714" s="7"/>
    </row>
    <row r="715" spans="1:26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20"/>
      <c r="J715" s="20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42"/>
      <c r="X715" s="7"/>
      <c r="Y715" s="7"/>
      <c r="Z715" s="7"/>
    </row>
    <row r="716" spans="1:26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20"/>
      <c r="J716" s="20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42"/>
      <c r="X716" s="7"/>
      <c r="Y716" s="7"/>
      <c r="Z716" s="7"/>
    </row>
    <row r="717" spans="1:26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20"/>
      <c r="J717" s="20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42"/>
      <c r="X717" s="7"/>
      <c r="Y717" s="7"/>
      <c r="Z717" s="7"/>
    </row>
    <row r="718" spans="1:26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20"/>
      <c r="J718" s="20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42"/>
      <c r="X718" s="7"/>
      <c r="Y718" s="7"/>
      <c r="Z718" s="7"/>
    </row>
    <row r="719" spans="1:26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20"/>
      <c r="J719" s="20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42"/>
      <c r="X719" s="7"/>
      <c r="Y719" s="7"/>
      <c r="Z719" s="7"/>
    </row>
    <row r="720" spans="1:26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20"/>
      <c r="J720" s="20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42"/>
      <c r="X720" s="7"/>
      <c r="Y720" s="7"/>
      <c r="Z720" s="7"/>
    </row>
    <row r="721" spans="1:26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20"/>
      <c r="J721" s="20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42"/>
      <c r="X721" s="7"/>
      <c r="Y721" s="7"/>
      <c r="Z721" s="7"/>
    </row>
    <row r="722" spans="1:26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20"/>
      <c r="J722" s="20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42"/>
      <c r="X722" s="7"/>
      <c r="Y722" s="7"/>
      <c r="Z722" s="7"/>
    </row>
    <row r="723" spans="1:26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20"/>
      <c r="J723" s="20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42"/>
      <c r="X723" s="7"/>
      <c r="Y723" s="7"/>
      <c r="Z723" s="7"/>
    </row>
    <row r="724" spans="1:26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20"/>
      <c r="J724" s="20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42"/>
      <c r="X724" s="7"/>
      <c r="Y724" s="7"/>
      <c r="Z724" s="7"/>
    </row>
    <row r="725" spans="1:26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20"/>
      <c r="J725" s="20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42"/>
      <c r="X725" s="7"/>
      <c r="Y725" s="7"/>
      <c r="Z725" s="7"/>
    </row>
    <row r="726" spans="1:26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20"/>
      <c r="J726" s="20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42"/>
      <c r="X726" s="7"/>
      <c r="Y726" s="7"/>
      <c r="Z726" s="7"/>
    </row>
    <row r="727" spans="1:26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20"/>
      <c r="J727" s="20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42"/>
      <c r="X727" s="7"/>
      <c r="Y727" s="7"/>
      <c r="Z727" s="7"/>
    </row>
    <row r="728" spans="1:26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20"/>
      <c r="J728" s="20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42"/>
      <c r="X728" s="7"/>
      <c r="Y728" s="7"/>
      <c r="Z728" s="7"/>
    </row>
    <row r="729" spans="1:26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20"/>
      <c r="J729" s="20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42"/>
      <c r="X729" s="7"/>
      <c r="Y729" s="7"/>
      <c r="Z729" s="7"/>
    </row>
    <row r="730" spans="1:26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20"/>
      <c r="J730" s="20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42"/>
      <c r="X730" s="7"/>
      <c r="Y730" s="7"/>
      <c r="Z730" s="7"/>
    </row>
    <row r="731" spans="1:26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20"/>
      <c r="J731" s="20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42"/>
      <c r="X731" s="7"/>
      <c r="Y731" s="7"/>
      <c r="Z731" s="7"/>
    </row>
    <row r="732" spans="1:26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20"/>
      <c r="J732" s="20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42"/>
      <c r="X732" s="7"/>
      <c r="Y732" s="7"/>
      <c r="Z732" s="7"/>
    </row>
    <row r="733" spans="1:26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20"/>
      <c r="J733" s="20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42"/>
      <c r="X733" s="7"/>
      <c r="Y733" s="7"/>
      <c r="Z733" s="7"/>
    </row>
    <row r="734" spans="1:26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20"/>
      <c r="J734" s="20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42"/>
      <c r="X734" s="7"/>
      <c r="Y734" s="7"/>
      <c r="Z734" s="7"/>
    </row>
    <row r="735" spans="1:26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20"/>
      <c r="J735" s="20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42"/>
      <c r="X735" s="7"/>
      <c r="Y735" s="7"/>
      <c r="Z735" s="7"/>
    </row>
    <row r="736" spans="1:26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20"/>
      <c r="J736" s="20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42"/>
      <c r="X736" s="7"/>
      <c r="Y736" s="7"/>
      <c r="Z736" s="7"/>
    </row>
    <row r="737" spans="1:26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20"/>
      <c r="J737" s="20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42"/>
      <c r="X737" s="7"/>
      <c r="Y737" s="7"/>
      <c r="Z737" s="7"/>
    </row>
    <row r="738" spans="1:26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20"/>
      <c r="J738" s="20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42"/>
      <c r="X738" s="7"/>
      <c r="Y738" s="7"/>
      <c r="Z738" s="7"/>
    </row>
    <row r="739" spans="1:26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20"/>
      <c r="J739" s="20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42"/>
      <c r="X739" s="7"/>
      <c r="Y739" s="7"/>
      <c r="Z739" s="7"/>
    </row>
    <row r="740" spans="1:26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20"/>
      <c r="J740" s="20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42"/>
      <c r="X740" s="7"/>
      <c r="Y740" s="7"/>
      <c r="Z740" s="7"/>
    </row>
    <row r="741" spans="1:26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20"/>
      <c r="J741" s="20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42"/>
      <c r="X741" s="7"/>
      <c r="Y741" s="7"/>
      <c r="Z741" s="7"/>
    </row>
    <row r="742" spans="1:26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20"/>
      <c r="J742" s="20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42"/>
      <c r="X742" s="7"/>
      <c r="Y742" s="7"/>
      <c r="Z742" s="7"/>
    </row>
    <row r="743" spans="1:26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20"/>
      <c r="J743" s="20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42"/>
      <c r="X743" s="7"/>
      <c r="Y743" s="7"/>
      <c r="Z743" s="7"/>
    </row>
    <row r="744" spans="1:26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20"/>
      <c r="J744" s="20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42"/>
      <c r="X744" s="7"/>
      <c r="Y744" s="7"/>
      <c r="Z744" s="7"/>
    </row>
    <row r="745" spans="1:26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20"/>
      <c r="J745" s="20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42"/>
      <c r="X745" s="7"/>
      <c r="Y745" s="7"/>
      <c r="Z745" s="7"/>
    </row>
    <row r="746" spans="1:26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20"/>
      <c r="J746" s="20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42"/>
      <c r="X746" s="7"/>
      <c r="Y746" s="7"/>
      <c r="Z746" s="7"/>
    </row>
    <row r="747" spans="1:26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20"/>
      <c r="J747" s="20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42"/>
      <c r="X747" s="7"/>
      <c r="Y747" s="7"/>
      <c r="Z747" s="7"/>
    </row>
    <row r="748" spans="1:26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20"/>
      <c r="J748" s="20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42"/>
      <c r="X748" s="7"/>
      <c r="Y748" s="7"/>
      <c r="Z748" s="7"/>
    </row>
    <row r="749" spans="1:26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20"/>
      <c r="J749" s="20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42"/>
      <c r="X749" s="7"/>
      <c r="Y749" s="7"/>
      <c r="Z749" s="7"/>
    </row>
    <row r="750" spans="1:26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20"/>
      <c r="J750" s="20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42"/>
      <c r="X750" s="7"/>
      <c r="Y750" s="7"/>
      <c r="Z750" s="7"/>
    </row>
    <row r="751" spans="1:26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20"/>
      <c r="J751" s="20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42"/>
      <c r="X751" s="7"/>
      <c r="Y751" s="7"/>
      <c r="Z751" s="7"/>
    </row>
    <row r="752" spans="1:26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20"/>
      <c r="J752" s="20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42"/>
      <c r="X752" s="7"/>
      <c r="Y752" s="7"/>
      <c r="Z752" s="7"/>
    </row>
    <row r="753" spans="1:26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20"/>
      <c r="J753" s="20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42"/>
      <c r="X753" s="7"/>
      <c r="Y753" s="7"/>
      <c r="Z753" s="7"/>
    </row>
    <row r="754" spans="1:26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20"/>
      <c r="J754" s="20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42"/>
      <c r="X754" s="7"/>
      <c r="Y754" s="7"/>
      <c r="Z754" s="7"/>
    </row>
    <row r="755" spans="1:26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20"/>
      <c r="J755" s="20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42"/>
      <c r="X755" s="7"/>
      <c r="Y755" s="7"/>
      <c r="Z755" s="7"/>
    </row>
    <row r="756" spans="1:26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20"/>
      <c r="J756" s="20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42"/>
      <c r="X756" s="7"/>
      <c r="Y756" s="7"/>
      <c r="Z756" s="7"/>
    </row>
    <row r="757" spans="1:26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20"/>
      <c r="J757" s="20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42"/>
      <c r="X757" s="7"/>
      <c r="Y757" s="7"/>
      <c r="Z757" s="7"/>
    </row>
    <row r="758" spans="1:26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20"/>
      <c r="J758" s="20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42"/>
      <c r="X758" s="7"/>
      <c r="Y758" s="7"/>
      <c r="Z758" s="7"/>
    </row>
    <row r="759" spans="1:26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20"/>
      <c r="J759" s="20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42"/>
      <c r="X759" s="7"/>
      <c r="Y759" s="7"/>
      <c r="Z759" s="7"/>
    </row>
    <row r="760" spans="1:26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20"/>
      <c r="J760" s="20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42"/>
      <c r="X760" s="7"/>
      <c r="Y760" s="7"/>
      <c r="Z760" s="7"/>
    </row>
    <row r="761" spans="1:26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20"/>
      <c r="J761" s="20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42"/>
      <c r="X761" s="7"/>
      <c r="Y761" s="7"/>
      <c r="Z761" s="7"/>
    </row>
    <row r="762" spans="1:26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20"/>
      <c r="J762" s="20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42"/>
      <c r="X762" s="7"/>
      <c r="Y762" s="7"/>
      <c r="Z762" s="7"/>
    </row>
    <row r="763" spans="1:26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20"/>
      <c r="J763" s="20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42"/>
      <c r="X763" s="7"/>
      <c r="Y763" s="7"/>
      <c r="Z763" s="7"/>
    </row>
    <row r="764" spans="1:26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20"/>
      <c r="J764" s="20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42"/>
      <c r="X764" s="7"/>
      <c r="Y764" s="7"/>
      <c r="Z764" s="7"/>
    </row>
    <row r="765" spans="1:26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20"/>
      <c r="J765" s="20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42"/>
      <c r="X765" s="7"/>
      <c r="Y765" s="7"/>
      <c r="Z765" s="7"/>
    </row>
    <row r="766" spans="1:26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20"/>
      <c r="J766" s="20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42"/>
      <c r="X766" s="7"/>
      <c r="Y766" s="7"/>
      <c r="Z766" s="7"/>
    </row>
    <row r="767" spans="1:26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20"/>
      <c r="J767" s="20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42"/>
      <c r="X767" s="7"/>
      <c r="Y767" s="7"/>
      <c r="Z767" s="7"/>
    </row>
    <row r="768" spans="1:26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20"/>
      <c r="J768" s="20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42"/>
      <c r="X768" s="7"/>
      <c r="Y768" s="7"/>
      <c r="Z768" s="7"/>
    </row>
    <row r="769" spans="1:26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20"/>
      <c r="J769" s="20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42"/>
      <c r="X769" s="7"/>
      <c r="Y769" s="7"/>
      <c r="Z769" s="7"/>
    </row>
    <row r="770" spans="1:26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20"/>
      <c r="J770" s="20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42"/>
      <c r="X770" s="7"/>
      <c r="Y770" s="7"/>
      <c r="Z770" s="7"/>
    </row>
    <row r="771" spans="1:26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20"/>
      <c r="J771" s="20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42"/>
      <c r="X771" s="7"/>
      <c r="Y771" s="7"/>
      <c r="Z771" s="7"/>
    </row>
    <row r="772" spans="1:26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20"/>
      <c r="J772" s="20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42"/>
      <c r="X772" s="7"/>
      <c r="Y772" s="7"/>
      <c r="Z772" s="7"/>
    </row>
    <row r="773" spans="1:26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20"/>
      <c r="J773" s="20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42"/>
      <c r="X773" s="7"/>
      <c r="Y773" s="7"/>
      <c r="Z773" s="7"/>
    </row>
    <row r="774" spans="1:26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20"/>
      <c r="J774" s="20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42"/>
      <c r="X774" s="7"/>
      <c r="Y774" s="7"/>
      <c r="Z774" s="7"/>
    </row>
    <row r="775" spans="1:26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20"/>
      <c r="J775" s="20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42"/>
      <c r="X775" s="7"/>
      <c r="Y775" s="7"/>
      <c r="Z775" s="7"/>
    </row>
    <row r="776" spans="1:26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20"/>
      <c r="J776" s="20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42"/>
      <c r="X776" s="7"/>
      <c r="Y776" s="7"/>
      <c r="Z776" s="7"/>
    </row>
    <row r="777" spans="1:26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20"/>
      <c r="J777" s="20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42"/>
      <c r="X777" s="7"/>
      <c r="Y777" s="7"/>
      <c r="Z777" s="7"/>
    </row>
    <row r="778" spans="1:26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20"/>
      <c r="J778" s="20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42"/>
      <c r="X778" s="7"/>
      <c r="Y778" s="7"/>
      <c r="Z778" s="7"/>
    </row>
    <row r="779" spans="1:26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20"/>
      <c r="J779" s="20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42"/>
      <c r="X779" s="7"/>
      <c r="Y779" s="7"/>
      <c r="Z779" s="7"/>
    </row>
    <row r="780" spans="1:26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20"/>
      <c r="J780" s="20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42"/>
      <c r="X780" s="7"/>
      <c r="Y780" s="7"/>
      <c r="Z780" s="7"/>
    </row>
    <row r="781" spans="1:26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20"/>
      <c r="J781" s="20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42"/>
      <c r="X781" s="7"/>
      <c r="Y781" s="7"/>
      <c r="Z781" s="7"/>
    </row>
    <row r="782" spans="1:26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20"/>
      <c r="J782" s="20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42"/>
      <c r="X782" s="7"/>
      <c r="Y782" s="7"/>
      <c r="Z782" s="7"/>
    </row>
    <row r="783" spans="1:26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20"/>
      <c r="J783" s="20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42"/>
      <c r="X783" s="7"/>
      <c r="Y783" s="7"/>
      <c r="Z783" s="7"/>
    </row>
    <row r="784" spans="1:26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20"/>
      <c r="J784" s="20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42"/>
      <c r="X784" s="7"/>
      <c r="Y784" s="7"/>
      <c r="Z784" s="7"/>
    </row>
    <row r="785" spans="1:26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20"/>
      <c r="J785" s="20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42"/>
      <c r="X785" s="7"/>
      <c r="Y785" s="7"/>
      <c r="Z785" s="7"/>
    </row>
    <row r="786" spans="1:26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20"/>
      <c r="J786" s="20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42"/>
      <c r="X786" s="7"/>
      <c r="Y786" s="7"/>
      <c r="Z786" s="7"/>
    </row>
    <row r="787" spans="1:26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20"/>
      <c r="J787" s="20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42"/>
      <c r="X787" s="7"/>
      <c r="Y787" s="7"/>
      <c r="Z787" s="7"/>
    </row>
    <row r="788" spans="1:26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20"/>
      <c r="J788" s="20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42"/>
      <c r="X788" s="7"/>
      <c r="Y788" s="7"/>
      <c r="Z788" s="7"/>
    </row>
    <row r="789" spans="1:26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20"/>
      <c r="J789" s="20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42"/>
      <c r="X789" s="7"/>
      <c r="Y789" s="7"/>
      <c r="Z789" s="7"/>
    </row>
    <row r="790" spans="1:26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20"/>
      <c r="J790" s="20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42"/>
      <c r="X790" s="7"/>
      <c r="Y790" s="7"/>
      <c r="Z790" s="7"/>
    </row>
    <row r="791" spans="1:26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20"/>
      <c r="J791" s="20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42"/>
      <c r="X791" s="7"/>
      <c r="Y791" s="7"/>
      <c r="Z791" s="7"/>
    </row>
    <row r="792" spans="1:26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20"/>
      <c r="J792" s="20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42"/>
      <c r="X792" s="7"/>
      <c r="Y792" s="7"/>
      <c r="Z792" s="7"/>
    </row>
    <row r="793" spans="1:26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20"/>
      <c r="J793" s="20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42"/>
      <c r="X793" s="7"/>
      <c r="Y793" s="7"/>
      <c r="Z793" s="7"/>
    </row>
    <row r="794" spans="1:26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20"/>
      <c r="J794" s="20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42"/>
      <c r="X794" s="7"/>
      <c r="Y794" s="7"/>
      <c r="Z794" s="7"/>
    </row>
    <row r="795" spans="1:26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20"/>
      <c r="J795" s="20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42"/>
      <c r="X795" s="7"/>
      <c r="Y795" s="7"/>
      <c r="Z795" s="7"/>
    </row>
    <row r="796" spans="1:26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20"/>
      <c r="J796" s="20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42"/>
      <c r="X796" s="7"/>
      <c r="Y796" s="7"/>
      <c r="Z796" s="7"/>
    </row>
    <row r="797" spans="1:26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20"/>
      <c r="J797" s="20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42"/>
      <c r="X797" s="7"/>
      <c r="Y797" s="7"/>
      <c r="Z797" s="7"/>
    </row>
    <row r="798" spans="1:26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20"/>
      <c r="J798" s="20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42"/>
      <c r="X798" s="7"/>
      <c r="Y798" s="7"/>
      <c r="Z798" s="7"/>
    </row>
    <row r="799" spans="1:26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20"/>
      <c r="J799" s="20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42"/>
      <c r="X799" s="7"/>
      <c r="Y799" s="7"/>
      <c r="Z799" s="7"/>
    </row>
    <row r="800" spans="1:26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20"/>
      <c r="J800" s="20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42"/>
      <c r="X800" s="7"/>
      <c r="Y800" s="7"/>
      <c r="Z800" s="7"/>
    </row>
    <row r="801" spans="1:26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20"/>
      <c r="J801" s="20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42"/>
      <c r="X801" s="7"/>
      <c r="Y801" s="7"/>
      <c r="Z801" s="7"/>
    </row>
    <row r="802" spans="1:26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20"/>
      <c r="J802" s="20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42"/>
      <c r="X802" s="7"/>
      <c r="Y802" s="7"/>
      <c r="Z802" s="7"/>
    </row>
    <row r="803" spans="1:26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20"/>
      <c r="J803" s="20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42"/>
      <c r="X803" s="7"/>
      <c r="Y803" s="7"/>
      <c r="Z803" s="7"/>
    </row>
    <row r="804" spans="1:26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20"/>
      <c r="J804" s="20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42"/>
      <c r="X804" s="7"/>
      <c r="Y804" s="7"/>
      <c r="Z804" s="7"/>
    </row>
    <row r="805" spans="1:26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20"/>
      <c r="J805" s="20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42"/>
      <c r="X805" s="7"/>
      <c r="Y805" s="7"/>
      <c r="Z805" s="7"/>
    </row>
    <row r="806" spans="1:26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20"/>
      <c r="J806" s="20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42"/>
      <c r="X806" s="7"/>
      <c r="Y806" s="7"/>
      <c r="Z806" s="7"/>
    </row>
    <row r="807" spans="1:26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20"/>
      <c r="J807" s="20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42"/>
      <c r="X807" s="7"/>
      <c r="Y807" s="7"/>
      <c r="Z807" s="7"/>
    </row>
    <row r="808" spans="1:26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20"/>
      <c r="J808" s="20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42"/>
      <c r="X808" s="7"/>
      <c r="Y808" s="7"/>
      <c r="Z808" s="7"/>
    </row>
    <row r="809" spans="1:26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20"/>
      <c r="J809" s="20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42"/>
      <c r="X809" s="7"/>
      <c r="Y809" s="7"/>
      <c r="Z809" s="7"/>
    </row>
    <row r="810" spans="1:26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20"/>
      <c r="J810" s="20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42"/>
      <c r="X810" s="7"/>
      <c r="Y810" s="7"/>
      <c r="Z810" s="7"/>
    </row>
    <row r="811" spans="1:26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20"/>
      <c r="J811" s="20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42"/>
      <c r="X811" s="7"/>
      <c r="Y811" s="7"/>
      <c r="Z811" s="7"/>
    </row>
    <row r="812" spans="1:26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20"/>
      <c r="J812" s="20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42"/>
      <c r="X812" s="7"/>
      <c r="Y812" s="7"/>
      <c r="Z812" s="7"/>
    </row>
    <row r="813" spans="1:26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20"/>
      <c r="J813" s="20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42"/>
      <c r="X813" s="7"/>
      <c r="Y813" s="7"/>
      <c r="Z813" s="7"/>
    </row>
    <row r="814" spans="1:26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20"/>
      <c r="J814" s="20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42"/>
      <c r="X814" s="7"/>
      <c r="Y814" s="7"/>
      <c r="Z814" s="7"/>
    </row>
    <row r="815" spans="1:26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20"/>
      <c r="J815" s="20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42"/>
      <c r="X815" s="7"/>
      <c r="Y815" s="7"/>
      <c r="Z815" s="7"/>
    </row>
    <row r="816" spans="1:26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20"/>
      <c r="J816" s="20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42"/>
      <c r="X816" s="7"/>
      <c r="Y816" s="7"/>
      <c r="Z816" s="7"/>
    </row>
    <row r="817" spans="1:26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20"/>
      <c r="J817" s="20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42"/>
      <c r="X817" s="7"/>
      <c r="Y817" s="7"/>
      <c r="Z817" s="7"/>
    </row>
    <row r="818" spans="1:26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20"/>
      <c r="J818" s="20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42"/>
      <c r="X818" s="7"/>
      <c r="Y818" s="7"/>
      <c r="Z818" s="7"/>
    </row>
    <row r="819" spans="1:26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20"/>
      <c r="J819" s="20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42"/>
      <c r="X819" s="7"/>
      <c r="Y819" s="7"/>
      <c r="Z819" s="7"/>
    </row>
    <row r="820" spans="1:26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20"/>
      <c r="J820" s="20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42"/>
      <c r="X820" s="7"/>
      <c r="Y820" s="7"/>
      <c r="Z820" s="7"/>
    </row>
    <row r="821" spans="1:26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20"/>
      <c r="J821" s="20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42"/>
      <c r="X821" s="7"/>
      <c r="Y821" s="7"/>
      <c r="Z821" s="7"/>
    </row>
    <row r="822" spans="1:26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20"/>
      <c r="J822" s="20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42"/>
      <c r="X822" s="7"/>
      <c r="Y822" s="7"/>
      <c r="Z822" s="7"/>
    </row>
    <row r="823" spans="1:26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20"/>
      <c r="J823" s="20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42"/>
      <c r="X823" s="7"/>
      <c r="Y823" s="7"/>
      <c r="Z823" s="7"/>
    </row>
    <row r="824" spans="1:26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20"/>
      <c r="J824" s="20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42"/>
      <c r="X824" s="7"/>
      <c r="Y824" s="7"/>
      <c r="Z824" s="7"/>
    </row>
    <row r="825" spans="1:26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20"/>
      <c r="J825" s="20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42"/>
      <c r="X825" s="7"/>
      <c r="Y825" s="7"/>
      <c r="Z825" s="7"/>
    </row>
    <row r="826" spans="1:26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20"/>
      <c r="J826" s="20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42"/>
      <c r="X826" s="7"/>
      <c r="Y826" s="7"/>
      <c r="Z826" s="7"/>
    </row>
    <row r="827" spans="1:26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20"/>
      <c r="J827" s="20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42"/>
      <c r="X827" s="7"/>
      <c r="Y827" s="7"/>
      <c r="Z827" s="7"/>
    </row>
    <row r="828" spans="1:26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20"/>
      <c r="J828" s="20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42"/>
      <c r="X828" s="7"/>
      <c r="Y828" s="7"/>
      <c r="Z828" s="7"/>
    </row>
    <row r="829" spans="1:26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20"/>
      <c r="J829" s="20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42"/>
      <c r="X829" s="7"/>
      <c r="Y829" s="7"/>
      <c r="Z829" s="7"/>
    </row>
    <row r="830" spans="1:26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20"/>
      <c r="J830" s="20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42"/>
      <c r="X830" s="7"/>
      <c r="Y830" s="7"/>
      <c r="Z830" s="7"/>
    </row>
    <row r="831" spans="1:26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20"/>
      <c r="J831" s="20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42"/>
      <c r="X831" s="7"/>
      <c r="Y831" s="7"/>
      <c r="Z831" s="7"/>
    </row>
    <row r="832" spans="1:26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20"/>
      <c r="J832" s="20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42"/>
      <c r="X832" s="7"/>
      <c r="Y832" s="7"/>
      <c r="Z832" s="7"/>
    </row>
    <row r="833" spans="1:26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20"/>
      <c r="J833" s="20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42"/>
      <c r="X833" s="7"/>
      <c r="Y833" s="7"/>
      <c r="Z833" s="7"/>
    </row>
    <row r="834" spans="1:26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20"/>
      <c r="J834" s="20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42"/>
      <c r="X834" s="7"/>
      <c r="Y834" s="7"/>
      <c r="Z834" s="7"/>
    </row>
    <row r="835" spans="1:26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20"/>
      <c r="J835" s="20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42"/>
      <c r="X835" s="7"/>
      <c r="Y835" s="7"/>
      <c r="Z835" s="7"/>
    </row>
    <row r="836" spans="1:26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20"/>
      <c r="J836" s="20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42"/>
      <c r="X836" s="7"/>
      <c r="Y836" s="7"/>
      <c r="Z836" s="7"/>
    </row>
    <row r="837" spans="1:26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20"/>
      <c r="J837" s="20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42"/>
      <c r="X837" s="7"/>
      <c r="Y837" s="7"/>
      <c r="Z837" s="7"/>
    </row>
    <row r="838" spans="1:26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20"/>
      <c r="J838" s="20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42"/>
      <c r="X838" s="7"/>
      <c r="Y838" s="7"/>
      <c r="Z838" s="7"/>
    </row>
    <row r="839" spans="1:26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20"/>
      <c r="J839" s="20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42"/>
      <c r="X839" s="7"/>
      <c r="Y839" s="7"/>
      <c r="Z839" s="7"/>
    </row>
    <row r="840" spans="1:26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20"/>
      <c r="J840" s="20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42"/>
      <c r="X840" s="7"/>
      <c r="Y840" s="7"/>
      <c r="Z840" s="7"/>
    </row>
    <row r="841" spans="1:26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20"/>
      <c r="J841" s="20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42"/>
      <c r="X841" s="7"/>
      <c r="Y841" s="7"/>
      <c r="Z841" s="7"/>
    </row>
    <row r="842" spans="1:26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20"/>
      <c r="J842" s="20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42"/>
      <c r="X842" s="7"/>
      <c r="Y842" s="7"/>
      <c r="Z842" s="7"/>
    </row>
    <row r="843" spans="1:26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20"/>
      <c r="J843" s="20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42"/>
      <c r="X843" s="7"/>
      <c r="Y843" s="7"/>
      <c r="Z843" s="7"/>
    </row>
    <row r="844" spans="1:26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20"/>
      <c r="J844" s="20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42"/>
      <c r="X844" s="7"/>
      <c r="Y844" s="7"/>
      <c r="Z844" s="7"/>
    </row>
    <row r="845" spans="1:26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20"/>
      <c r="J845" s="20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42"/>
      <c r="X845" s="7"/>
      <c r="Y845" s="7"/>
      <c r="Z845" s="7"/>
    </row>
    <row r="846" spans="1:26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20"/>
      <c r="J846" s="20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42"/>
      <c r="X846" s="7"/>
      <c r="Y846" s="7"/>
      <c r="Z846" s="7"/>
    </row>
    <row r="847" spans="1:26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20"/>
      <c r="J847" s="20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42"/>
      <c r="X847" s="7"/>
      <c r="Y847" s="7"/>
      <c r="Z847" s="7"/>
    </row>
    <row r="848" spans="1:26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20"/>
      <c r="J848" s="20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42"/>
      <c r="X848" s="7"/>
      <c r="Y848" s="7"/>
      <c r="Z848" s="7"/>
    </row>
    <row r="849" spans="1:26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20"/>
      <c r="J849" s="20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42"/>
      <c r="X849" s="7"/>
      <c r="Y849" s="7"/>
      <c r="Z849" s="7"/>
    </row>
    <row r="850" spans="1:26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20"/>
      <c r="J850" s="20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42"/>
      <c r="X850" s="7"/>
      <c r="Y850" s="7"/>
      <c r="Z850" s="7"/>
    </row>
    <row r="851" spans="1:26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20"/>
      <c r="J851" s="20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42"/>
      <c r="X851" s="7"/>
      <c r="Y851" s="7"/>
      <c r="Z851" s="7"/>
    </row>
    <row r="852" spans="1:26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20"/>
      <c r="J852" s="20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42"/>
      <c r="X852" s="7"/>
      <c r="Y852" s="7"/>
      <c r="Z852" s="7"/>
    </row>
    <row r="853" spans="1:26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20"/>
      <c r="J853" s="20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42"/>
      <c r="X853" s="7"/>
      <c r="Y853" s="7"/>
      <c r="Z853" s="7"/>
    </row>
    <row r="854" spans="1:26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20"/>
      <c r="J854" s="20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42"/>
      <c r="X854" s="7"/>
      <c r="Y854" s="7"/>
      <c r="Z854" s="7"/>
    </row>
    <row r="855" spans="1:26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20"/>
      <c r="J855" s="20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42"/>
      <c r="X855" s="7"/>
      <c r="Y855" s="7"/>
      <c r="Z855" s="7"/>
    </row>
    <row r="856" spans="1:26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20"/>
      <c r="J856" s="20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42"/>
      <c r="X856" s="7"/>
      <c r="Y856" s="7"/>
      <c r="Z856" s="7"/>
    </row>
    <row r="857" spans="1:26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20"/>
      <c r="J857" s="20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42"/>
      <c r="X857" s="7"/>
      <c r="Y857" s="7"/>
      <c r="Z857" s="7"/>
    </row>
    <row r="858" spans="1:26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20"/>
      <c r="J858" s="20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42"/>
      <c r="X858" s="7"/>
      <c r="Y858" s="7"/>
      <c r="Z858" s="7"/>
    </row>
    <row r="859" spans="1:26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20"/>
      <c r="J859" s="20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42"/>
      <c r="X859" s="7"/>
      <c r="Y859" s="7"/>
      <c r="Z859" s="7"/>
    </row>
    <row r="860" spans="1:26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20"/>
      <c r="J860" s="20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42"/>
      <c r="X860" s="7"/>
      <c r="Y860" s="7"/>
      <c r="Z860" s="7"/>
    </row>
    <row r="861" spans="1:26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20"/>
      <c r="J861" s="20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42"/>
      <c r="X861" s="7"/>
      <c r="Y861" s="7"/>
      <c r="Z861" s="7"/>
    </row>
    <row r="862" spans="1:26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20"/>
      <c r="J862" s="20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42"/>
      <c r="X862" s="7"/>
      <c r="Y862" s="7"/>
      <c r="Z862" s="7"/>
    </row>
    <row r="863" spans="1:26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20"/>
      <c r="J863" s="20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42"/>
      <c r="X863" s="7"/>
      <c r="Y863" s="7"/>
      <c r="Z863" s="7"/>
    </row>
    <row r="864" spans="1:26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20"/>
      <c r="J864" s="20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42"/>
      <c r="X864" s="7"/>
      <c r="Y864" s="7"/>
      <c r="Z864" s="7"/>
    </row>
    <row r="865" spans="1:26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20"/>
      <c r="J865" s="20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42"/>
      <c r="X865" s="7"/>
      <c r="Y865" s="7"/>
      <c r="Z865" s="7"/>
    </row>
    <row r="866" spans="1:26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20"/>
      <c r="J866" s="20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42"/>
      <c r="X866" s="7"/>
      <c r="Y866" s="7"/>
      <c r="Z866" s="7"/>
    </row>
    <row r="867" spans="1:26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20"/>
      <c r="J867" s="20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42"/>
      <c r="X867" s="7"/>
      <c r="Y867" s="7"/>
      <c r="Z867" s="7"/>
    </row>
    <row r="868" spans="1:26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20"/>
      <c r="J868" s="20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42"/>
      <c r="X868" s="7"/>
      <c r="Y868" s="7"/>
      <c r="Z868" s="7"/>
    </row>
    <row r="869" spans="1:26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20"/>
      <c r="J869" s="20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42"/>
      <c r="X869" s="7"/>
      <c r="Y869" s="7"/>
      <c r="Z869" s="7"/>
    </row>
    <row r="870" spans="1:26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20"/>
      <c r="J870" s="20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42"/>
      <c r="X870" s="7"/>
      <c r="Y870" s="7"/>
      <c r="Z870" s="7"/>
    </row>
    <row r="871" spans="1:26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20"/>
      <c r="J871" s="20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42"/>
      <c r="X871" s="7"/>
      <c r="Y871" s="7"/>
      <c r="Z871" s="7"/>
    </row>
    <row r="872" spans="1:26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20"/>
      <c r="J872" s="20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42"/>
      <c r="X872" s="7"/>
      <c r="Y872" s="7"/>
      <c r="Z872" s="7"/>
    </row>
    <row r="873" spans="1:26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20"/>
      <c r="J873" s="20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42"/>
      <c r="X873" s="7"/>
      <c r="Y873" s="7"/>
      <c r="Z873" s="7"/>
    </row>
    <row r="874" spans="1:26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20"/>
      <c r="J874" s="20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42"/>
      <c r="X874" s="7"/>
      <c r="Y874" s="7"/>
      <c r="Z874" s="7"/>
    </row>
    <row r="875" spans="1:26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20"/>
      <c r="J875" s="20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42"/>
      <c r="X875" s="7"/>
      <c r="Y875" s="7"/>
      <c r="Z875" s="7"/>
    </row>
    <row r="876" spans="1:26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20"/>
      <c r="J876" s="20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42"/>
      <c r="X876" s="7"/>
      <c r="Y876" s="7"/>
      <c r="Z876" s="7"/>
    </row>
    <row r="877" spans="1:26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20"/>
      <c r="J877" s="20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42"/>
      <c r="X877" s="7"/>
      <c r="Y877" s="7"/>
      <c r="Z877" s="7"/>
    </row>
    <row r="878" spans="1:26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20"/>
      <c r="J878" s="20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42"/>
      <c r="X878" s="7"/>
      <c r="Y878" s="7"/>
      <c r="Z878" s="7"/>
    </row>
    <row r="879" spans="1:26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20"/>
      <c r="J879" s="20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42"/>
      <c r="X879" s="7"/>
      <c r="Y879" s="7"/>
      <c r="Z879" s="7"/>
    </row>
    <row r="880" spans="1:26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20"/>
      <c r="J880" s="20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42"/>
      <c r="X880" s="7"/>
      <c r="Y880" s="7"/>
      <c r="Z880" s="7"/>
    </row>
    <row r="881" spans="1:26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20"/>
      <c r="J881" s="20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42"/>
      <c r="X881" s="7"/>
      <c r="Y881" s="7"/>
      <c r="Z881" s="7"/>
    </row>
    <row r="882" spans="1:26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20"/>
      <c r="J882" s="20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42"/>
      <c r="X882" s="7"/>
      <c r="Y882" s="7"/>
      <c r="Z882" s="7"/>
    </row>
    <row r="883" spans="1:26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20"/>
      <c r="J883" s="20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42"/>
      <c r="X883" s="7"/>
      <c r="Y883" s="7"/>
      <c r="Z883" s="7"/>
    </row>
    <row r="884" spans="1:26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20"/>
      <c r="J884" s="20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42"/>
      <c r="X884" s="7"/>
      <c r="Y884" s="7"/>
      <c r="Z884" s="7"/>
    </row>
    <row r="885" spans="1:26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20"/>
      <c r="J885" s="20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42"/>
      <c r="X885" s="7"/>
      <c r="Y885" s="7"/>
      <c r="Z885" s="7"/>
    </row>
    <row r="886" spans="1:26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20"/>
      <c r="J886" s="20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42"/>
      <c r="X886" s="7"/>
      <c r="Y886" s="7"/>
      <c r="Z886" s="7"/>
    </row>
    <row r="887" spans="1:26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20"/>
      <c r="J887" s="20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42"/>
      <c r="X887" s="7"/>
      <c r="Y887" s="7"/>
      <c r="Z887" s="7"/>
    </row>
    <row r="888" spans="1:26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20"/>
      <c r="J888" s="20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42"/>
      <c r="X888" s="7"/>
      <c r="Y888" s="7"/>
      <c r="Z888" s="7"/>
    </row>
    <row r="889" spans="1:26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20"/>
      <c r="J889" s="20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42"/>
      <c r="X889" s="7"/>
      <c r="Y889" s="7"/>
      <c r="Z889" s="7"/>
    </row>
    <row r="890" spans="1:26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20"/>
      <c r="J890" s="20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42"/>
      <c r="X890" s="7"/>
      <c r="Y890" s="7"/>
      <c r="Z890" s="7"/>
    </row>
    <row r="891" spans="1:26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20"/>
      <c r="J891" s="20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42"/>
      <c r="X891" s="7"/>
      <c r="Y891" s="7"/>
      <c r="Z891" s="7"/>
    </row>
    <row r="892" spans="1:26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20"/>
      <c r="J892" s="20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42"/>
      <c r="X892" s="7"/>
      <c r="Y892" s="7"/>
      <c r="Z892" s="7"/>
    </row>
    <row r="893" spans="1:26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20"/>
      <c r="J893" s="20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42"/>
      <c r="X893" s="7"/>
      <c r="Y893" s="7"/>
      <c r="Z893" s="7"/>
    </row>
    <row r="894" spans="1:26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20"/>
      <c r="J894" s="20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42"/>
      <c r="X894" s="7"/>
      <c r="Y894" s="7"/>
      <c r="Z894" s="7"/>
    </row>
    <row r="895" spans="1:26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20"/>
      <c r="J895" s="20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42"/>
      <c r="X895" s="7"/>
      <c r="Y895" s="7"/>
      <c r="Z895" s="7"/>
    </row>
    <row r="896" spans="1:26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20"/>
      <c r="J896" s="20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42"/>
      <c r="X896" s="7"/>
      <c r="Y896" s="7"/>
      <c r="Z896" s="7"/>
    </row>
    <row r="897" spans="1:26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20"/>
      <c r="J897" s="20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42"/>
      <c r="X897" s="7"/>
      <c r="Y897" s="7"/>
      <c r="Z897" s="7"/>
    </row>
    <row r="898" spans="1:26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20"/>
      <c r="J898" s="20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42"/>
      <c r="X898" s="7"/>
      <c r="Y898" s="7"/>
      <c r="Z898" s="7"/>
    </row>
    <row r="899" spans="1:26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20"/>
      <c r="J899" s="20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42"/>
      <c r="X899" s="7"/>
      <c r="Y899" s="7"/>
      <c r="Z899" s="7"/>
    </row>
    <row r="900" spans="1:26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20"/>
      <c r="J900" s="20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42"/>
      <c r="X900" s="7"/>
      <c r="Y900" s="7"/>
      <c r="Z900" s="7"/>
    </row>
    <row r="901" spans="1:26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20"/>
      <c r="J901" s="20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42"/>
      <c r="X901" s="7"/>
      <c r="Y901" s="7"/>
      <c r="Z901" s="7"/>
    </row>
    <row r="902" spans="1:26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20"/>
      <c r="J902" s="20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42"/>
      <c r="X902" s="7"/>
      <c r="Y902" s="7"/>
      <c r="Z902" s="7"/>
    </row>
    <row r="903" spans="1:26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20"/>
      <c r="J903" s="20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42"/>
      <c r="X903" s="7"/>
      <c r="Y903" s="7"/>
      <c r="Z903" s="7"/>
    </row>
    <row r="904" spans="1:26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20"/>
      <c r="J904" s="20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42"/>
      <c r="X904" s="7"/>
      <c r="Y904" s="7"/>
      <c r="Z904" s="7"/>
    </row>
    <row r="905" spans="1:26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20"/>
      <c r="J905" s="20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42"/>
      <c r="X905" s="7"/>
      <c r="Y905" s="7"/>
      <c r="Z905" s="7"/>
    </row>
    <row r="906" spans="1:26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20"/>
      <c r="J906" s="20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42"/>
      <c r="X906" s="7"/>
      <c r="Y906" s="7"/>
      <c r="Z906" s="7"/>
    </row>
    <row r="907" spans="1:26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20"/>
      <c r="J907" s="20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42"/>
      <c r="X907" s="7"/>
      <c r="Y907" s="7"/>
      <c r="Z907" s="7"/>
    </row>
    <row r="908" spans="1:26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20"/>
      <c r="J908" s="20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42"/>
      <c r="X908" s="7"/>
      <c r="Y908" s="7"/>
      <c r="Z908" s="7"/>
    </row>
    <row r="909" spans="1:26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20"/>
      <c r="J909" s="20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42"/>
      <c r="X909" s="7"/>
      <c r="Y909" s="7"/>
      <c r="Z909" s="7"/>
    </row>
    <row r="910" spans="1:26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20"/>
      <c r="J910" s="20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42"/>
      <c r="X910" s="7"/>
      <c r="Y910" s="7"/>
      <c r="Z910" s="7"/>
    </row>
    <row r="911" spans="1:26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20"/>
      <c r="J911" s="20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42"/>
      <c r="X911" s="7"/>
      <c r="Y911" s="7"/>
      <c r="Z911" s="7"/>
    </row>
    <row r="912" spans="1:26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20"/>
      <c r="J912" s="20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42"/>
      <c r="X912" s="7"/>
      <c r="Y912" s="7"/>
      <c r="Z912" s="7"/>
    </row>
    <row r="913" spans="1:26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20"/>
      <c r="J913" s="20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42"/>
      <c r="X913" s="7"/>
      <c r="Y913" s="7"/>
      <c r="Z913" s="7"/>
    </row>
    <row r="914" spans="1:26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20"/>
      <c r="J914" s="20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42"/>
      <c r="X914" s="7"/>
      <c r="Y914" s="7"/>
      <c r="Z914" s="7"/>
    </row>
    <row r="915" spans="1:26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20"/>
      <c r="J915" s="20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42"/>
      <c r="X915" s="7"/>
      <c r="Y915" s="7"/>
      <c r="Z915" s="7"/>
    </row>
    <row r="916" spans="1:26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20"/>
      <c r="J916" s="20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42"/>
      <c r="X916" s="7"/>
      <c r="Y916" s="7"/>
      <c r="Z916" s="7"/>
    </row>
    <row r="917" spans="1:26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20"/>
      <c r="J917" s="20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42"/>
      <c r="X917" s="7"/>
      <c r="Y917" s="7"/>
      <c r="Z917" s="7"/>
    </row>
    <row r="918" spans="1:26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20"/>
      <c r="J918" s="20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42"/>
      <c r="X918" s="7"/>
      <c r="Y918" s="7"/>
      <c r="Z918" s="7"/>
    </row>
    <row r="919" spans="1:26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20"/>
      <c r="J919" s="20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42"/>
      <c r="X919" s="7"/>
      <c r="Y919" s="7"/>
      <c r="Z919" s="7"/>
    </row>
    <row r="920" spans="1:26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20"/>
      <c r="J920" s="20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42"/>
      <c r="X920" s="7"/>
      <c r="Y920" s="7"/>
      <c r="Z920" s="7"/>
    </row>
    <row r="921" spans="1:26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20"/>
      <c r="J921" s="20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42"/>
      <c r="X921" s="7"/>
      <c r="Y921" s="7"/>
      <c r="Z921" s="7"/>
    </row>
    <row r="922" spans="1:26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20"/>
      <c r="J922" s="20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42"/>
      <c r="X922" s="7"/>
      <c r="Y922" s="7"/>
      <c r="Z922" s="7"/>
    </row>
    <row r="923" spans="1:26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20"/>
      <c r="J923" s="20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42"/>
      <c r="X923" s="7"/>
      <c r="Y923" s="7"/>
      <c r="Z923" s="7"/>
    </row>
    <row r="924" spans="1:26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20"/>
      <c r="J924" s="20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42"/>
      <c r="X924" s="7"/>
      <c r="Y924" s="7"/>
      <c r="Z924" s="7"/>
    </row>
    <row r="925" spans="1:26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20"/>
      <c r="J925" s="20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42"/>
      <c r="X925" s="7"/>
      <c r="Y925" s="7"/>
      <c r="Z925" s="7"/>
    </row>
    <row r="926" spans="1:26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20"/>
      <c r="J926" s="20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42"/>
      <c r="X926" s="7"/>
      <c r="Y926" s="7"/>
      <c r="Z926" s="7"/>
    </row>
    <row r="927" spans="1:26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20"/>
      <c r="J927" s="20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42"/>
      <c r="X927" s="7"/>
      <c r="Y927" s="7"/>
      <c r="Z927" s="7"/>
    </row>
    <row r="928" spans="1:26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20"/>
      <c r="J928" s="20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42"/>
      <c r="X928" s="7"/>
      <c r="Y928" s="7"/>
      <c r="Z928" s="7"/>
    </row>
    <row r="929" spans="1:26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20"/>
      <c r="J929" s="20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42"/>
      <c r="X929" s="7"/>
      <c r="Y929" s="7"/>
      <c r="Z929" s="7"/>
    </row>
    <row r="930" spans="1:26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20"/>
      <c r="J930" s="20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42"/>
      <c r="X930" s="7"/>
      <c r="Y930" s="7"/>
      <c r="Z930" s="7"/>
    </row>
    <row r="931" spans="1:26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20"/>
      <c r="J931" s="20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42"/>
      <c r="X931" s="7"/>
      <c r="Y931" s="7"/>
      <c r="Z931" s="7"/>
    </row>
    <row r="932" spans="1:26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20"/>
      <c r="J932" s="20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42"/>
      <c r="X932" s="7"/>
      <c r="Y932" s="7"/>
      <c r="Z932" s="7"/>
    </row>
    <row r="933" spans="1:26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20"/>
      <c r="J933" s="20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42"/>
      <c r="X933" s="7"/>
      <c r="Y933" s="7"/>
      <c r="Z933" s="7"/>
    </row>
    <row r="934" spans="1:26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20"/>
      <c r="J934" s="20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42"/>
      <c r="X934" s="7"/>
      <c r="Y934" s="7"/>
      <c r="Z934" s="7"/>
    </row>
    <row r="935" spans="1:26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20"/>
      <c r="J935" s="20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42"/>
      <c r="X935" s="7"/>
      <c r="Y935" s="7"/>
      <c r="Z935" s="7"/>
    </row>
    <row r="936" spans="1:26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20"/>
      <c r="J936" s="20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42"/>
      <c r="X936" s="7"/>
      <c r="Y936" s="7"/>
      <c r="Z936" s="7"/>
    </row>
    <row r="937" spans="1:26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20"/>
      <c r="J937" s="20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42"/>
      <c r="X937" s="7"/>
      <c r="Y937" s="7"/>
      <c r="Z937" s="7"/>
    </row>
    <row r="938" spans="1:26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20"/>
      <c r="J938" s="20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42"/>
      <c r="X938" s="7"/>
      <c r="Y938" s="7"/>
      <c r="Z938" s="7"/>
    </row>
    <row r="939" spans="1:26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20"/>
      <c r="J939" s="20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42"/>
      <c r="X939" s="7"/>
      <c r="Y939" s="7"/>
      <c r="Z939" s="7"/>
    </row>
    <row r="940" spans="1:26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20"/>
      <c r="J940" s="20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42"/>
      <c r="X940" s="7"/>
      <c r="Y940" s="7"/>
      <c r="Z940" s="7"/>
    </row>
    <row r="941" spans="1:26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20"/>
      <c r="J941" s="20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42"/>
      <c r="X941" s="7"/>
      <c r="Y941" s="7"/>
      <c r="Z941" s="7"/>
    </row>
    <row r="942" spans="1:26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20"/>
      <c r="J942" s="20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42"/>
      <c r="X942" s="7"/>
      <c r="Y942" s="7"/>
      <c r="Z942" s="7"/>
    </row>
    <row r="943" spans="1:26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20"/>
      <c r="J943" s="20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42"/>
      <c r="X943" s="7"/>
      <c r="Y943" s="7"/>
      <c r="Z943" s="7"/>
    </row>
    <row r="944" spans="1:26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20"/>
      <c r="J944" s="20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42"/>
      <c r="X944" s="7"/>
      <c r="Y944" s="7"/>
      <c r="Z944" s="7"/>
    </row>
    <row r="945" spans="1:26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20"/>
      <c r="J945" s="20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42"/>
      <c r="X945" s="7"/>
      <c r="Y945" s="7"/>
      <c r="Z945" s="7"/>
    </row>
    <row r="946" spans="1:26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20"/>
      <c r="J946" s="20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42"/>
      <c r="X946" s="7"/>
      <c r="Y946" s="7"/>
      <c r="Z946" s="7"/>
    </row>
    <row r="947" spans="1:26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20"/>
      <c r="J947" s="20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42"/>
      <c r="X947" s="7"/>
      <c r="Y947" s="7"/>
      <c r="Z947" s="7"/>
    </row>
    <row r="948" spans="1:26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20"/>
      <c r="J948" s="20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42"/>
      <c r="X948" s="7"/>
      <c r="Y948" s="7"/>
      <c r="Z948" s="7"/>
    </row>
    <row r="949" spans="1:26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20"/>
      <c r="J949" s="20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42"/>
      <c r="X949" s="7"/>
      <c r="Y949" s="7"/>
      <c r="Z949" s="7"/>
    </row>
    <row r="950" spans="1:26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20"/>
      <c r="J950" s="20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42"/>
      <c r="X950" s="7"/>
      <c r="Y950" s="7"/>
      <c r="Z950" s="7"/>
    </row>
    <row r="951" spans="1:26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20"/>
      <c r="J951" s="20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42"/>
      <c r="X951" s="7"/>
      <c r="Y951" s="7"/>
      <c r="Z951" s="7"/>
    </row>
    <row r="952" spans="1:26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20"/>
      <c r="J952" s="20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42"/>
      <c r="X952" s="7"/>
      <c r="Y952" s="7"/>
      <c r="Z952" s="7"/>
    </row>
    <row r="953" spans="1:26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20"/>
      <c r="J953" s="20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42"/>
      <c r="X953" s="7"/>
      <c r="Y953" s="7"/>
      <c r="Z953" s="7"/>
    </row>
    <row r="954" spans="1:26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20"/>
      <c r="J954" s="20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42"/>
      <c r="X954" s="7"/>
      <c r="Y954" s="7"/>
      <c r="Z954" s="7"/>
    </row>
    <row r="955" spans="1:26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20"/>
      <c r="J955" s="20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42"/>
      <c r="X955" s="7"/>
      <c r="Y955" s="7"/>
      <c r="Z955" s="7"/>
    </row>
    <row r="956" spans="1:26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20"/>
      <c r="J956" s="20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42"/>
      <c r="X956" s="7"/>
      <c r="Y956" s="7"/>
      <c r="Z956" s="7"/>
    </row>
    <row r="957" spans="1:26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20"/>
      <c r="J957" s="20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42"/>
      <c r="X957" s="7"/>
      <c r="Y957" s="7"/>
      <c r="Z957" s="7"/>
    </row>
    <row r="958" spans="1:26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20"/>
      <c r="J958" s="20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42"/>
      <c r="X958" s="7"/>
      <c r="Y958" s="7"/>
      <c r="Z958" s="7"/>
    </row>
    <row r="959" spans="1:26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20"/>
      <c r="J959" s="20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42"/>
      <c r="X959" s="7"/>
      <c r="Y959" s="7"/>
      <c r="Z959" s="7"/>
    </row>
    <row r="960" spans="1:26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20"/>
      <c r="J960" s="20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42"/>
      <c r="X960" s="7"/>
      <c r="Y960" s="7"/>
      <c r="Z960" s="7"/>
    </row>
    <row r="961" spans="1:26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20"/>
      <c r="J961" s="20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42"/>
      <c r="X961" s="7"/>
      <c r="Y961" s="7"/>
      <c r="Z961" s="7"/>
    </row>
    <row r="962" spans="1:26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20"/>
      <c r="J962" s="20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42"/>
      <c r="X962" s="7"/>
      <c r="Y962" s="7"/>
      <c r="Z962" s="7"/>
    </row>
    <row r="963" spans="1:26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20"/>
      <c r="J963" s="20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42"/>
      <c r="X963" s="7"/>
      <c r="Y963" s="7"/>
      <c r="Z963" s="7"/>
    </row>
    <row r="964" spans="1:26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20"/>
      <c r="J964" s="20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42"/>
      <c r="X964" s="7"/>
      <c r="Y964" s="7"/>
      <c r="Z964" s="7"/>
    </row>
    <row r="965" spans="1:26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20"/>
      <c r="J965" s="20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42"/>
      <c r="X965" s="7"/>
      <c r="Y965" s="7"/>
      <c r="Z965" s="7"/>
    </row>
    <row r="966" spans="1:26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20"/>
      <c r="J966" s="20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42"/>
      <c r="X966" s="7"/>
      <c r="Y966" s="7"/>
      <c r="Z966" s="7"/>
    </row>
    <row r="967" spans="1:26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20"/>
      <c r="J967" s="20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42"/>
      <c r="X967" s="7"/>
      <c r="Y967" s="7"/>
      <c r="Z967" s="7"/>
    </row>
    <row r="968" spans="1:26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20"/>
      <c r="J968" s="20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42"/>
      <c r="X968" s="7"/>
      <c r="Y968" s="7"/>
      <c r="Z968" s="7"/>
    </row>
    <row r="969" spans="1:26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20"/>
      <c r="J969" s="20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42"/>
      <c r="X969" s="7"/>
      <c r="Y969" s="7"/>
      <c r="Z969" s="7"/>
    </row>
    <row r="970" spans="1:26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20"/>
      <c r="J970" s="20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42"/>
      <c r="X970" s="7"/>
      <c r="Y970" s="7"/>
      <c r="Z970" s="7"/>
    </row>
    <row r="971" spans="1:26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20"/>
      <c r="J971" s="20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42"/>
      <c r="X971" s="7"/>
      <c r="Y971" s="7"/>
      <c r="Z971" s="7"/>
    </row>
    <row r="972" spans="1:26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20"/>
      <c r="J972" s="20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42"/>
      <c r="X972" s="7"/>
      <c r="Y972" s="7"/>
      <c r="Z972" s="7"/>
    </row>
    <row r="973" spans="1:26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20"/>
      <c r="J973" s="20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42"/>
      <c r="X973" s="7"/>
      <c r="Y973" s="7"/>
      <c r="Z973" s="7"/>
    </row>
    <row r="974" spans="1:26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20"/>
      <c r="J974" s="20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42"/>
      <c r="X974" s="7"/>
      <c r="Y974" s="7"/>
      <c r="Z974" s="7"/>
    </row>
    <row r="975" spans="1:26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20"/>
      <c r="J975" s="20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42"/>
      <c r="X975" s="7"/>
      <c r="Y975" s="7"/>
      <c r="Z975" s="7"/>
    </row>
    <row r="976" spans="1:26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20"/>
      <c r="J976" s="20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42"/>
      <c r="X976" s="7"/>
      <c r="Y976" s="7"/>
      <c r="Z976" s="7"/>
    </row>
    <row r="977" spans="1:26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20"/>
      <c r="J977" s="20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42"/>
      <c r="X977" s="7"/>
      <c r="Y977" s="7"/>
      <c r="Z977" s="7"/>
    </row>
    <row r="978" spans="1:26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20"/>
      <c r="J978" s="20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42"/>
      <c r="X978" s="7"/>
      <c r="Y978" s="7"/>
      <c r="Z978" s="7"/>
    </row>
    <row r="979" spans="1:26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20"/>
      <c r="J979" s="20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42"/>
      <c r="X979" s="7"/>
      <c r="Y979" s="7"/>
      <c r="Z979" s="7"/>
    </row>
    <row r="980" spans="1:26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20"/>
      <c r="J980" s="20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42"/>
      <c r="X980" s="7"/>
      <c r="Y980" s="7"/>
      <c r="Z980" s="7"/>
    </row>
    <row r="981" spans="1:26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20"/>
      <c r="J981" s="20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42"/>
      <c r="X981" s="7"/>
      <c r="Y981" s="7"/>
      <c r="Z981" s="7"/>
    </row>
    <row r="982" spans="1:26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20"/>
      <c r="J982" s="20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42"/>
      <c r="X982" s="7"/>
      <c r="Y982" s="7"/>
      <c r="Z982" s="7"/>
    </row>
    <row r="983" spans="1:26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20"/>
      <c r="J983" s="20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42"/>
      <c r="X983" s="7"/>
      <c r="Y983" s="7"/>
      <c r="Z983" s="7"/>
    </row>
    <row r="984" spans="1:26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20"/>
      <c r="J984" s="20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42"/>
      <c r="X984" s="7"/>
      <c r="Y984" s="7"/>
      <c r="Z984" s="7"/>
    </row>
    <row r="985" spans="1:26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20"/>
      <c r="J985" s="20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42"/>
      <c r="X985" s="7"/>
      <c r="Y985" s="7"/>
      <c r="Z985" s="7"/>
    </row>
    <row r="986" spans="1:26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20"/>
      <c r="J986" s="20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42"/>
      <c r="X986" s="7"/>
      <c r="Y986" s="7"/>
      <c r="Z986" s="7"/>
    </row>
    <row r="987" spans="1:26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20"/>
      <c r="J987" s="20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42"/>
      <c r="X987" s="7"/>
      <c r="Y987" s="7"/>
      <c r="Z987" s="7"/>
    </row>
    <row r="988" spans="1:26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20"/>
      <c r="J988" s="20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42"/>
      <c r="X988" s="7"/>
      <c r="Y988" s="7"/>
      <c r="Z988" s="7"/>
    </row>
    <row r="989" spans="1:26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20"/>
      <c r="J989" s="20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42"/>
      <c r="X989" s="7"/>
      <c r="Y989" s="7"/>
      <c r="Z989" s="7"/>
    </row>
    <row r="990" spans="1:26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20"/>
      <c r="J990" s="20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42"/>
      <c r="X990" s="7"/>
      <c r="Y990" s="7"/>
      <c r="Z990" s="7"/>
    </row>
    <row r="991" spans="1:26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20"/>
      <c r="J991" s="20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42"/>
      <c r="X991" s="7"/>
      <c r="Y991" s="7"/>
      <c r="Z991" s="7"/>
    </row>
    <row r="992" spans="1:26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20"/>
      <c r="J992" s="20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42"/>
      <c r="X992" s="7"/>
      <c r="Y992" s="7"/>
      <c r="Z992" s="7"/>
    </row>
    <row r="993" spans="1:26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20"/>
      <c r="J993" s="20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42"/>
      <c r="X993" s="7"/>
      <c r="Y993" s="7"/>
      <c r="Z993" s="7"/>
    </row>
    <row r="994" spans="1:26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20"/>
      <c r="J994" s="20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42"/>
      <c r="X994" s="7"/>
      <c r="Y994" s="7"/>
      <c r="Z994" s="7"/>
    </row>
    <row r="995" spans="1:26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20"/>
      <c r="J995" s="20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42"/>
      <c r="X995" s="7"/>
      <c r="Y995" s="7"/>
      <c r="Z995" s="7"/>
    </row>
    <row r="996" spans="1:26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20"/>
      <c r="J996" s="20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42"/>
      <c r="X996" s="7"/>
      <c r="Y996" s="7"/>
      <c r="Z996" s="7"/>
    </row>
    <row r="997" spans="1:26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20"/>
      <c r="J997" s="20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42"/>
      <c r="X997" s="7"/>
      <c r="Y997" s="7"/>
      <c r="Z997" s="7"/>
    </row>
    <row r="998" spans="1:26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20"/>
      <c r="J998" s="20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42"/>
      <c r="X998" s="7"/>
      <c r="Y998" s="7"/>
      <c r="Z998" s="7"/>
    </row>
    <row r="999" spans="1:26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20"/>
      <c r="J999" s="20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42"/>
      <c r="X999" s="7"/>
      <c r="Y999" s="7"/>
      <c r="Z999" s="7"/>
    </row>
    <row r="1000" spans="1:26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20"/>
      <c r="J1000" s="20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42"/>
      <c r="X1000" s="7"/>
      <c r="Y1000" s="7"/>
      <c r="Z1000" s="7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1002"/>
  <sheetViews>
    <sheetView workbookViewId="0"/>
  </sheetViews>
  <sheetFormatPr baseColWidth="10" defaultColWidth="14.5" defaultRowHeight="15" customHeight="1" x14ac:dyDescent="0.2"/>
  <cols>
    <col min="1" max="1" width="54" customWidth="1"/>
    <col min="2" max="3" width="18.33203125" customWidth="1"/>
    <col min="4" max="4" width="13.83203125" customWidth="1"/>
    <col min="5" max="5" width="18" customWidth="1"/>
    <col min="6" max="6" width="9.1640625" customWidth="1"/>
    <col min="7" max="7" width="9" customWidth="1"/>
    <col min="8" max="26" width="13.6640625" customWidth="1"/>
  </cols>
  <sheetData>
    <row r="3" spans="1:7" ht="32" x14ac:dyDescent="0.2">
      <c r="A3" s="46" t="s">
        <v>51</v>
      </c>
      <c r="B3" s="46" t="s">
        <v>52</v>
      </c>
      <c r="C3" s="46" t="s">
        <v>53</v>
      </c>
      <c r="E3" s="47"/>
    </row>
    <row r="4" spans="1:7" x14ac:dyDescent="0.2">
      <c r="A4" s="48" t="s">
        <v>54</v>
      </c>
      <c r="B4" s="49" t="s">
        <v>16</v>
      </c>
      <c r="C4" s="49" t="s">
        <v>17</v>
      </c>
    </row>
    <row r="5" spans="1:7" x14ac:dyDescent="0.2">
      <c r="A5" s="48" t="s">
        <v>55</v>
      </c>
      <c r="B5" s="50">
        <v>0.8</v>
      </c>
      <c r="C5" s="50">
        <v>0.82</v>
      </c>
    </row>
    <row r="6" spans="1:7" x14ac:dyDescent="0.2">
      <c r="A6" s="48" t="s">
        <v>56</v>
      </c>
      <c r="B6" s="50">
        <f>SUM('Supplier A'!E:E)</f>
        <v>451731.50000000012</v>
      </c>
      <c r="C6" s="50">
        <f>SUM('Supplier B'!E:E)</f>
        <v>451731.50000000012</v>
      </c>
    </row>
    <row r="7" spans="1:7" x14ac:dyDescent="0.2">
      <c r="A7" s="48" t="s">
        <v>57</v>
      </c>
      <c r="B7" s="50">
        <f t="shared" ref="B7:C7" si="0">B5*B6</f>
        <v>361385.20000000013</v>
      </c>
      <c r="C7" s="50">
        <f t="shared" si="0"/>
        <v>370419.83000000007</v>
      </c>
      <c r="F7" s="51"/>
      <c r="G7" s="51"/>
    </row>
    <row r="8" spans="1:7" ht="16" x14ac:dyDescent="0.2">
      <c r="A8" s="52" t="s">
        <v>58</v>
      </c>
      <c r="B8" s="50">
        <f>SUM('Supplier A'!P:P)</f>
        <v>210905.20299999998</v>
      </c>
      <c r="C8" s="50">
        <f>SUM('Supplier B'!P:P)</f>
        <v>124800</v>
      </c>
      <c r="E8" s="53"/>
      <c r="F8" s="54"/>
      <c r="G8" s="54"/>
    </row>
    <row r="9" spans="1:7" x14ac:dyDescent="0.2">
      <c r="A9" s="48" t="s">
        <v>59</v>
      </c>
      <c r="B9" s="55">
        <f t="shared" ref="B9:C9" si="1">B7+B8</f>
        <v>572290.40300000017</v>
      </c>
      <c r="C9" s="55">
        <f t="shared" si="1"/>
        <v>495219.83000000007</v>
      </c>
    </row>
    <row r="10" spans="1:7" x14ac:dyDescent="0.2">
      <c r="B10" s="49"/>
      <c r="C10" s="49"/>
    </row>
    <row r="11" spans="1:7" x14ac:dyDescent="0.2">
      <c r="A11" s="48" t="s">
        <v>60</v>
      </c>
      <c r="C11" s="56">
        <f>B9-C9</f>
        <v>77070.573000000091</v>
      </c>
    </row>
    <row r="12" spans="1:7" ht="64" x14ac:dyDescent="0.2">
      <c r="A12" s="57" t="s">
        <v>61</v>
      </c>
      <c r="C12" s="58" t="str">
        <f>"Choose Supplier B  saves $"&amp;TEXT(C11,"#,##0")&amp;" / yr ("&amp;TEXT(C11/B9,"0.0%")&amp;" lower total cost)."</f>
        <v>Choose Supplier B  saves $77,071 / yr (13.5% lower total cost).</v>
      </c>
    </row>
    <row r="16" spans="1:7" x14ac:dyDescent="0.2">
      <c r="A16" s="48" t="s">
        <v>62</v>
      </c>
    </row>
    <row r="17" spans="1:5" ht="32" x14ac:dyDescent="0.2">
      <c r="A17" s="59"/>
      <c r="B17" s="46" t="s">
        <v>63</v>
      </c>
      <c r="C17" s="46" t="s">
        <v>57</v>
      </c>
      <c r="D17" s="46" t="s">
        <v>64</v>
      </c>
      <c r="E17" s="60" t="s">
        <v>65</v>
      </c>
    </row>
    <row r="18" spans="1:5" x14ac:dyDescent="0.2">
      <c r="A18" s="61" t="s">
        <v>66</v>
      </c>
      <c r="B18" s="62">
        <v>0.8</v>
      </c>
      <c r="C18" s="63">
        <f>B7</f>
        <v>361385.20000000013</v>
      </c>
      <c r="D18" s="64">
        <f>B8</f>
        <v>210905.20299999998</v>
      </c>
      <c r="E18" s="65">
        <f t="shared" ref="E18:E19" si="2">SUM(C18+D18)</f>
        <v>572290.40300000017</v>
      </c>
    </row>
    <row r="19" spans="1:5" x14ac:dyDescent="0.2">
      <c r="A19" s="66" t="s">
        <v>67</v>
      </c>
      <c r="B19" s="67">
        <v>0.82</v>
      </c>
      <c r="C19" s="68">
        <f>C7</f>
        <v>370419.83000000007</v>
      </c>
      <c r="D19" s="64">
        <f>C8</f>
        <v>124800</v>
      </c>
      <c r="E19" s="65">
        <f t="shared" si="2"/>
        <v>495219.83000000007</v>
      </c>
    </row>
    <row r="20" spans="1:5" x14ac:dyDescent="0.2">
      <c r="A20" s="69" t="s">
        <v>68</v>
      </c>
      <c r="B20" s="69"/>
      <c r="C20" s="70"/>
      <c r="D20" s="65"/>
      <c r="E20" s="71">
        <f>E18-E19</f>
        <v>77070.573000000091</v>
      </c>
    </row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Z1006"/>
  <sheetViews>
    <sheetView workbookViewId="0"/>
  </sheetViews>
  <sheetFormatPr baseColWidth="10" defaultColWidth="14.5" defaultRowHeight="15" customHeight="1" x14ac:dyDescent="0.2"/>
  <cols>
    <col min="1" max="1" width="54" customWidth="1"/>
    <col min="2" max="3" width="18.33203125" customWidth="1"/>
    <col min="4" max="4" width="13.83203125" customWidth="1"/>
    <col min="5" max="5" width="18" customWidth="1"/>
    <col min="6" max="6" width="9.1640625" customWidth="1"/>
    <col min="7" max="7" width="9" customWidth="1"/>
    <col min="8" max="14" width="13.6640625" customWidth="1"/>
    <col min="15" max="15" width="46.33203125" customWidth="1"/>
    <col min="16" max="16" width="11.83203125" customWidth="1"/>
    <col min="17" max="40" width="13.6640625" customWidth="1"/>
  </cols>
  <sheetData>
    <row r="3" spans="1:7" ht="32" x14ac:dyDescent="0.2">
      <c r="A3" s="46" t="s">
        <v>51</v>
      </c>
      <c r="B3" s="46" t="s">
        <v>52</v>
      </c>
      <c r="C3" s="46" t="s">
        <v>53</v>
      </c>
      <c r="E3" s="47"/>
    </row>
    <row r="4" spans="1:7" x14ac:dyDescent="0.2">
      <c r="A4" s="48" t="s">
        <v>54</v>
      </c>
      <c r="B4" s="49" t="s">
        <v>16</v>
      </c>
      <c r="C4" s="49" t="s">
        <v>17</v>
      </c>
    </row>
    <row r="5" spans="1:7" x14ac:dyDescent="0.2">
      <c r="A5" s="48" t="s">
        <v>55</v>
      </c>
      <c r="B5" s="50">
        <v>0.8</v>
      </c>
      <c r="C5" s="50">
        <v>0.82</v>
      </c>
    </row>
    <row r="6" spans="1:7" x14ac:dyDescent="0.2">
      <c r="A6" s="48" t="s">
        <v>56</v>
      </c>
      <c r="B6" s="50">
        <f>SUM('Supplier A'!E:E)</f>
        <v>451731.50000000012</v>
      </c>
      <c r="C6" s="50">
        <f>SUM('Supplier B'!E:E)</f>
        <v>451731.50000000012</v>
      </c>
    </row>
    <row r="7" spans="1:7" x14ac:dyDescent="0.2">
      <c r="A7" s="48" t="s">
        <v>57</v>
      </c>
      <c r="B7" s="50">
        <f t="shared" ref="B7:C7" si="0">B5*B6</f>
        <v>361385.20000000013</v>
      </c>
      <c r="C7" s="50">
        <f t="shared" si="0"/>
        <v>370419.83000000007</v>
      </c>
      <c r="F7" s="51"/>
      <c r="G7" s="51"/>
    </row>
    <row r="8" spans="1:7" x14ac:dyDescent="0.2">
      <c r="A8" s="52"/>
      <c r="B8" s="50"/>
      <c r="C8" s="50"/>
      <c r="E8" s="53"/>
      <c r="F8" s="54"/>
      <c r="G8" s="54"/>
    </row>
    <row r="9" spans="1:7" ht="16" x14ac:dyDescent="0.2">
      <c r="A9" s="52" t="s">
        <v>58</v>
      </c>
      <c r="B9" s="50">
        <f>SUM('Supplier A'!P:P)</f>
        <v>210905.20299999998</v>
      </c>
      <c r="C9" s="50">
        <f>SUM('Supplier B'!P:P)</f>
        <v>124800</v>
      </c>
      <c r="E9" s="53"/>
      <c r="F9" s="54"/>
      <c r="G9" s="54"/>
    </row>
    <row r="10" spans="1:7" x14ac:dyDescent="0.2">
      <c r="A10" s="72" t="s">
        <v>69</v>
      </c>
      <c r="B10" s="73">
        <f>SUM('Supplier B'!W:W)</f>
        <v>246199.86739999999</v>
      </c>
      <c r="C10" s="74">
        <f>SUM('Supplier A'!W:W)</f>
        <v>345188.57200000004</v>
      </c>
      <c r="E10" s="53"/>
      <c r="F10" s="54"/>
      <c r="G10" s="54"/>
    </row>
    <row r="11" spans="1:7" x14ac:dyDescent="0.2">
      <c r="A11" s="75"/>
      <c r="B11" s="76"/>
      <c r="C11" s="76"/>
      <c r="E11" s="53"/>
      <c r="F11" s="54"/>
      <c r="G11" s="54"/>
    </row>
    <row r="12" spans="1:7" x14ac:dyDescent="0.2">
      <c r="A12" s="75" t="s">
        <v>70</v>
      </c>
      <c r="B12" s="77">
        <f t="shared" ref="B12:C12" si="1">B9+B10</f>
        <v>457105.07039999997</v>
      </c>
      <c r="C12" s="77">
        <f t="shared" si="1"/>
        <v>469988.57200000004</v>
      </c>
      <c r="E12" s="53"/>
      <c r="F12" s="54"/>
      <c r="G12" s="54"/>
    </row>
    <row r="13" spans="1:7" x14ac:dyDescent="0.2">
      <c r="A13" s="48"/>
      <c r="B13" s="27"/>
      <c r="C13" s="27"/>
    </row>
    <row r="14" spans="1:7" x14ac:dyDescent="0.2">
      <c r="A14" s="48" t="s">
        <v>59</v>
      </c>
      <c r="B14" s="55">
        <f t="shared" ref="B14:C14" si="2">B7+B12</f>
        <v>818490.27040000004</v>
      </c>
      <c r="C14" s="55">
        <f t="shared" si="2"/>
        <v>840408.40200000012</v>
      </c>
    </row>
    <row r="15" spans="1:7" x14ac:dyDescent="0.2">
      <c r="B15" s="49"/>
      <c r="C15" s="49"/>
    </row>
    <row r="16" spans="1:7" x14ac:dyDescent="0.2">
      <c r="A16" s="48" t="s">
        <v>60</v>
      </c>
      <c r="C16" s="56">
        <f>B14-C14</f>
        <v>-21918.131600000081</v>
      </c>
    </row>
    <row r="17" spans="1:26" ht="48" x14ac:dyDescent="0.2">
      <c r="A17" s="57" t="s">
        <v>61</v>
      </c>
      <c r="C17" s="58" t="str">
        <f>"Choose Supplier B  saves $"&amp;TEXT(C16,"#,##0")&amp;" / yr ("&amp;TEXT(C16/B14,"0.0%")&amp;" lower total cost)."</f>
        <v>Choose Supplier B  saves $-21,918 / yr (-2.7% lower total cost).</v>
      </c>
    </row>
    <row r="20" spans="1:26" x14ac:dyDescent="0.2">
      <c r="A20" s="48" t="s">
        <v>71</v>
      </c>
    </row>
    <row r="21" spans="1:26" ht="64" x14ac:dyDescent="0.2">
      <c r="A21" s="59"/>
      <c r="B21" s="46" t="s">
        <v>63</v>
      </c>
      <c r="C21" s="46" t="s">
        <v>57</v>
      </c>
      <c r="D21" s="46" t="s">
        <v>72</v>
      </c>
      <c r="E21" s="60" t="s">
        <v>73</v>
      </c>
    </row>
    <row r="22" spans="1:26" x14ac:dyDescent="0.2">
      <c r="A22" s="61" t="s">
        <v>66</v>
      </c>
      <c r="B22" s="62">
        <v>0.8</v>
      </c>
      <c r="C22" s="63">
        <f>B7</f>
        <v>361385.20000000013</v>
      </c>
      <c r="D22" s="64">
        <f>B12</f>
        <v>457105.07039999997</v>
      </c>
      <c r="E22" s="65">
        <f t="shared" ref="E22:E23" si="3">SUM(C22+D22)</f>
        <v>818490.27040000004</v>
      </c>
    </row>
    <row r="23" spans="1:26" x14ac:dyDescent="0.2">
      <c r="A23" s="66" t="s">
        <v>67</v>
      </c>
      <c r="B23" s="67">
        <v>0.82</v>
      </c>
      <c r="C23" s="68">
        <f>C7</f>
        <v>370419.83000000007</v>
      </c>
      <c r="D23" s="64">
        <f>C12</f>
        <v>469988.57200000004</v>
      </c>
      <c r="E23" s="65">
        <f t="shared" si="3"/>
        <v>840408.40200000012</v>
      </c>
    </row>
    <row r="24" spans="1:26" x14ac:dyDescent="0.2">
      <c r="A24" s="69" t="s">
        <v>68</v>
      </c>
      <c r="B24" s="69"/>
      <c r="C24" s="70"/>
      <c r="D24" s="65"/>
      <c r="E24" s="71">
        <f>E22-E23</f>
        <v>-21918.131600000081</v>
      </c>
    </row>
    <row r="27" spans="1:26" ht="15.75" customHeight="1" x14ac:dyDescent="0.2"/>
    <row r="28" spans="1:26" ht="15.75" customHeight="1" x14ac:dyDescent="0.2"/>
    <row r="29" spans="1:26" ht="15.75" customHeight="1" x14ac:dyDescent="0.2"/>
    <row r="30" spans="1:26" ht="15.75" customHeight="1" x14ac:dyDescent="0.2"/>
    <row r="31" spans="1:26" ht="15.75" customHeight="1" x14ac:dyDescent="0.2"/>
    <row r="32" spans="1:26" x14ac:dyDescent="0.2">
      <c r="O32" s="72"/>
      <c r="P32" s="73"/>
      <c r="Q32" s="74"/>
      <c r="S32" s="53"/>
      <c r="T32" s="54"/>
      <c r="U32" s="54"/>
      <c r="Z32" s="48"/>
    </row>
    <row r="33" spans="15:26" x14ac:dyDescent="0.2">
      <c r="O33" s="75"/>
      <c r="P33" s="76"/>
      <c r="Q33" s="76"/>
      <c r="S33" s="53"/>
      <c r="T33" s="54"/>
      <c r="U33" s="54"/>
      <c r="Z33" s="48"/>
    </row>
    <row r="34" spans="15:26" ht="15.75" customHeight="1" x14ac:dyDescent="0.2"/>
    <row r="35" spans="15:26" ht="15.75" customHeight="1" x14ac:dyDescent="0.2"/>
    <row r="36" spans="15:26" ht="15.75" customHeight="1" x14ac:dyDescent="0.2"/>
    <row r="37" spans="15:26" ht="15.75" customHeight="1" x14ac:dyDescent="0.2"/>
    <row r="38" spans="15:26" ht="15.75" customHeight="1" x14ac:dyDescent="0.2"/>
    <row r="39" spans="15:26" ht="15.75" customHeight="1" x14ac:dyDescent="0.2"/>
    <row r="40" spans="15:26" ht="15.75" customHeight="1" x14ac:dyDescent="0.2"/>
    <row r="41" spans="15:26" ht="15.75" customHeight="1" x14ac:dyDescent="0.2"/>
    <row r="42" spans="15:26" ht="15.75" customHeight="1" x14ac:dyDescent="0.2"/>
    <row r="43" spans="15:26" ht="15.75" customHeight="1" x14ac:dyDescent="0.2"/>
    <row r="44" spans="15:26" ht="15.75" customHeight="1" x14ac:dyDescent="0.2"/>
    <row r="45" spans="15:26" ht="15.75" customHeight="1" x14ac:dyDescent="0.2"/>
    <row r="46" spans="15:26" ht="15.75" customHeight="1" x14ac:dyDescent="0.2"/>
    <row r="47" spans="15:26" ht="15.75" customHeight="1" x14ac:dyDescent="0.2"/>
    <row r="48" spans="15:2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 Info</vt:lpstr>
      <vt:lpstr>Carrier Rates</vt:lpstr>
      <vt:lpstr>Historical Orders</vt:lpstr>
      <vt:lpstr>Historical Shipments</vt:lpstr>
      <vt:lpstr>Weekly Hammer Demand</vt:lpstr>
      <vt:lpstr>Supplier A</vt:lpstr>
      <vt:lpstr>Supplier B</vt:lpstr>
      <vt:lpstr>Summary  Hammer</vt:lpstr>
      <vt:lpstr>Summary  Total shipping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Alay Chetankumar Parikh</cp:lastModifiedBy>
  <dcterms:modified xsi:type="dcterms:W3CDTF">2026-05-08T20:30:22Z</dcterms:modified>
</cp:coreProperties>
</file>